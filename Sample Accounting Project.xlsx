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00" windowWidth="19140" windowHeight="8590" activeTab="1"/>
  </bookViews>
  <sheets>
    <sheet name="Charts of Accounts" sheetId="2" r:id="rId1"/>
    <sheet name="Journal Entries" sheetId="1" r:id="rId2"/>
    <sheet name="Ledger" sheetId="5" r:id="rId3"/>
    <sheet name="Trial Balance" sheetId="4" r:id="rId4"/>
    <sheet name="Income Statement" sheetId="3" r:id="rId5"/>
    <sheet name="Balance Sheet" sheetId="6" r:id="rId6"/>
  </sheets>
  <definedNames>
    <definedName name="Slicer_Account1">#N/A</definedName>
  </definedNames>
  <calcPr calcId="144525"/>
  <pivotCaches>
    <pivotCache cacheId="17"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23" i="6" l="1"/>
  <c r="K24" i="6" s="1"/>
  <c r="J16" i="6"/>
  <c r="J15" i="6"/>
  <c r="K18" i="6" s="1"/>
  <c r="K25" i="6" s="1"/>
  <c r="E18" i="6"/>
  <c r="E19" i="6"/>
  <c r="E20" i="6"/>
  <c r="E17" i="6"/>
  <c r="E10" i="6"/>
  <c r="F11" i="6" s="1"/>
  <c r="F14" i="4"/>
  <c r="G14" i="4" s="1"/>
  <c r="F15" i="4"/>
  <c r="G15" i="4" s="1"/>
  <c r="F13" i="3"/>
  <c r="F12" i="3"/>
  <c r="G7" i="3"/>
  <c r="F21" i="6" l="1"/>
  <c r="F25" i="6" s="1"/>
  <c r="G14" i="3"/>
  <c r="G6" i="3"/>
  <c r="G8" i="3" s="1"/>
  <c r="G15" i="3" s="1"/>
  <c r="F13" i="4"/>
  <c r="G13" i="4" s="1"/>
  <c r="F5" i="4"/>
  <c r="G5" i="4" s="1"/>
  <c r="F6" i="4"/>
  <c r="G6" i="4" s="1"/>
  <c r="F7" i="4"/>
  <c r="G7" i="4" s="1"/>
  <c r="F8" i="4"/>
  <c r="G8" i="4" s="1"/>
  <c r="F9" i="4"/>
  <c r="G9" i="4" s="1"/>
  <c r="F10" i="4"/>
  <c r="G10" i="4" s="1"/>
  <c r="F11" i="4"/>
  <c r="G11" i="4" s="1"/>
  <c r="F12" i="4"/>
  <c r="G12" i="4" s="1"/>
  <c r="F4" i="4"/>
  <c r="G4" i="4" s="1"/>
  <c r="A2" i="5"/>
  <c r="C2" i="5" s="1"/>
  <c r="G16" i="3" l="1"/>
  <c r="G17" i="3" s="1"/>
</calcChain>
</file>

<file path=xl/sharedStrings.xml><?xml version="1.0" encoding="utf-8"?>
<sst xmlns="http://schemas.openxmlformats.org/spreadsheetml/2006/main" count="199" uniqueCount="81">
  <si>
    <t>Date</t>
  </si>
  <si>
    <t xml:space="preserve">Description </t>
  </si>
  <si>
    <t>Account</t>
  </si>
  <si>
    <t>Debit</t>
  </si>
  <si>
    <t xml:space="preserve">Credit </t>
  </si>
  <si>
    <t xml:space="preserve">Comment </t>
  </si>
  <si>
    <t>Assets</t>
  </si>
  <si>
    <t>Liabilities</t>
  </si>
  <si>
    <t xml:space="preserve">Equity </t>
  </si>
  <si>
    <t>Expenses</t>
  </si>
  <si>
    <t>Revenue</t>
  </si>
  <si>
    <t>Current Assets</t>
  </si>
  <si>
    <t>Fixed Assets</t>
  </si>
  <si>
    <t>Current Liablilities</t>
  </si>
  <si>
    <t xml:space="preserve">Contra Revenue </t>
  </si>
  <si>
    <t>Accounts</t>
  </si>
  <si>
    <t>Sub Accounts</t>
  </si>
  <si>
    <t>*Establish a business by Owais, investing Rs 1 million in Cash on 01-Jan-22</t>
  </si>
  <si>
    <t>Establish a business</t>
  </si>
  <si>
    <t>Cash</t>
  </si>
  <si>
    <t>Equity -Owais</t>
  </si>
  <si>
    <t>Individual Accounts</t>
  </si>
  <si>
    <t>Fixed Liablities</t>
  </si>
  <si>
    <t>Sub-Accounts</t>
  </si>
  <si>
    <t>Bank 1122</t>
  </si>
  <si>
    <t>*Deposit Rs. 5 lac into Bank on 2 Jan 2022</t>
  </si>
  <si>
    <t>Bank Deposits</t>
  </si>
  <si>
    <t xml:space="preserve">Inventory </t>
  </si>
  <si>
    <t>Mr.Zubair</t>
  </si>
  <si>
    <t>Purchased Inventory</t>
  </si>
  <si>
    <t>*Purchase inventory of Rs 600,000 on credit from Mr.Zubair</t>
  </si>
  <si>
    <t>*Purchase inventory of Rs 200,000 by paying through Cheque from Mr.Ahmed</t>
  </si>
  <si>
    <t>*Sold inventory for Rs 400,000 on Cash on 10th Jan 2022</t>
  </si>
  <si>
    <t>Sales</t>
  </si>
  <si>
    <t>Sold inventory for Cash</t>
  </si>
  <si>
    <t>Cost of Goods Sold</t>
  </si>
  <si>
    <t>Adjust inventory agains COGs</t>
  </si>
  <si>
    <t>*Sold inventory for Rs 300,000 on Credit to Mr.Kazim on 15 Jan 2022</t>
  </si>
  <si>
    <t>Kazim</t>
  </si>
  <si>
    <t>Sold inventory on credit</t>
  </si>
  <si>
    <t>*Paid electricity bills of Rs.15000</t>
  </si>
  <si>
    <t xml:space="preserve">Electricity </t>
  </si>
  <si>
    <t xml:space="preserve">Salary </t>
  </si>
  <si>
    <t>Paid Electricity</t>
  </si>
  <si>
    <t xml:space="preserve">Paid Salary </t>
  </si>
  <si>
    <t>Paid to Mr.Zubair</t>
  </si>
  <si>
    <t>Received from Mr.Kazim</t>
  </si>
  <si>
    <t>Grand Total</t>
  </si>
  <si>
    <t>Sum of Debit</t>
  </si>
  <si>
    <t xml:space="preserve">Sum of Credit </t>
  </si>
  <si>
    <t>Sum of Balance</t>
  </si>
  <si>
    <t>Trial Balance</t>
  </si>
  <si>
    <t>INCOME STATEMENT</t>
  </si>
  <si>
    <t>Financial Statement</t>
  </si>
  <si>
    <t>Balance Sheet</t>
  </si>
  <si>
    <t>Income Statement</t>
  </si>
  <si>
    <t>Gross Profit</t>
  </si>
  <si>
    <t>Operating Expenses</t>
  </si>
  <si>
    <t>Total of Operating Expenses</t>
  </si>
  <si>
    <t>Operating Profit</t>
  </si>
  <si>
    <t>Taxes(15%)</t>
  </si>
  <si>
    <t xml:space="preserve">Net Profit </t>
  </si>
  <si>
    <t>Taxes</t>
  </si>
  <si>
    <t>Govt</t>
  </si>
  <si>
    <t>Taxes Payable to Government</t>
  </si>
  <si>
    <t>As on 31st March,2025</t>
  </si>
  <si>
    <t>Shop</t>
  </si>
  <si>
    <t>Purchased a shop</t>
  </si>
  <si>
    <t>Total of Fixed Assets</t>
  </si>
  <si>
    <t xml:space="preserve">Total of Assets </t>
  </si>
  <si>
    <t>Total of Assets</t>
  </si>
  <si>
    <t>Liabilities and Equities</t>
  </si>
  <si>
    <t>Fixed Liabilities</t>
  </si>
  <si>
    <t>Current Liabilities</t>
  </si>
  <si>
    <t>Total of Current Liabilities</t>
  </si>
  <si>
    <t>Equity-Owais</t>
  </si>
  <si>
    <t>Retain Earning</t>
  </si>
  <si>
    <t xml:space="preserve">Total of Equity </t>
  </si>
  <si>
    <t>Total of liabilities +Equity</t>
  </si>
  <si>
    <t>Sofia Company PVT</t>
  </si>
  <si>
    <t>For the period of 1st March 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</si>
</sst>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43" formatCode="_(* #,##0.00_);_(* \(#,##0.00\);_(* &quot;-&quot;??_);_(@_)"/>
    <numFmt numFmtId="165" formatCode="_(* #,##0_);_(* \(#,##0\);_(* &quot;-&quot;??_);_(@_)"/>
  </numFmts>
  <fonts count="11" x14ac:knownFonts="1">
    <font>
      <sz val="11"/>
      <color theme="1"/>
      <name val="Calibri"/>
      <family val="2"/>
      <scheme val="minor"/>
    </font>
    <font>
      <b/>
      <sz val="11"/>
      <color theme="1"/>
      <name val="Calibri"/>
      <family val="2"/>
      <scheme val="minor"/>
    </font>
    <font>
      <b/>
      <sz val="20"/>
      <color theme="1"/>
      <name val="Calibri"/>
      <family val="2"/>
      <scheme val="minor"/>
    </font>
    <font>
      <b/>
      <i/>
      <sz val="20"/>
      <color theme="1"/>
      <name val="Calibri"/>
      <family val="2"/>
      <scheme val="minor"/>
    </font>
    <font>
      <b/>
      <sz val="12"/>
      <color theme="1"/>
      <name val="Calibri"/>
      <family val="2"/>
      <scheme val="minor"/>
    </font>
    <font>
      <sz val="12"/>
      <color theme="1"/>
      <name val="Calibri"/>
      <family val="2"/>
      <scheme val="minor"/>
    </font>
    <font>
      <sz val="11"/>
      <color theme="1"/>
      <name val="Calibri"/>
      <family val="2"/>
      <scheme val="minor"/>
    </font>
    <font>
      <b/>
      <i/>
      <sz val="11"/>
      <color theme="1"/>
      <name val="Calibri"/>
      <family val="2"/>
      <scheme val="minor"/>
    </font>
    <font>
      <u val="singleAccounting"/>
      <sz val="11"/>
      <color theme="1"/>
      <name val="Calibri"/>
      <family val="2"/>
      <scheme val="minor"/>
    </font>
    <font>
      <b/>
      <u/>
      <sz val="11"/>
      <color theme="1"/>
      <name val="Calibri"/>
      <family val="2"/>
      <scheme val="minor"/>
    </font>
    <font>
      <b/>
      <i/>
      <u/>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s>
  <borders count="23">
    <border>
      <left/>
      <right/>
      <top/>
      <bottom/>
      <diagonal/>
    </border>
    <border>
      <left/>
      <right/>
      <top style="thin">
        <color theme="9" tint="0.79998168889431442"/>
      </top>
      <bottom style="thin">
        <color theme="9" tint="0.79998168889431442"/>
      </bottom>
      <diagonal/>
    </border>
    <border>
      <left/>
      <right/>
      <top/>
      <bottom style="medium">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top style="thin">
        <color theme="9" tint="0.79998168889431442"/>
      </top>
      <bottom style="thin">
        <color theme="9" tint="0.79998168889431442"/>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43" fontId="6" fillId="0" borderId="0" applyFont="0" applyFill="0" applyBorder="0" applyAlignment="0" applyProtection="0"/>
  </cellStyleXfs>
  <cellXfs count="62">
    <xf numFmtId="0" fontId="0" fillId="0" borderId="0" xfId="0"/>
    <xf numFmtId="15" fontId="0" fillId="0" borderId="0" xfId="0" applyNumberFormat="1"/>
    <xf numFmtId="3" fontId="0" fillId="0" borderId="0" xfId="0" applyNumberFormat="1"/>
    <xf numFmtId="0" fontId="0" fillId="0" borderId="0" xfId="0" pivotButton="1"/>
    <xf numFmtId="41" fontId="0" fillId="0" borderId="0" xfId="0" applyNumberFormat="1"/>
    <xf numFmtId="0" fontId="0" fillId="0" borderId="1" xfId="0" applyFont="1" applyBorder="1"/>
    <xf numFmtId="0" fontId="2" fillId="0" borderId="0" xfId="0" applyFont="1"/>
    <xf numFmtId="0" fontId="3" fillId="0" borderId="0" xfId="0" applyFont="1"/>
    <xf numFmtId="0" fontId="1" fillId="0" borderId="1" xfId="0" applyFont="1" applyBorder="1"/>
    <xf numFmtId="0" fontId="0" fillId="0" borderId="2" xfId="0" applyBorder="1"/>
    <xf numFmtId="0" fontId="1" fillId="0" borderId="0" xfId="0" applyFont="1" applyFill="1" applyBorder="1"/>
    <xf numFmtId="0" fontId="7" fillId="0" borderId="0" xfId="0" applyFont="1" applyFill="1" applyBorder="1"/>
    <xf numFmtId="0" fontId="7" fillId="0" borderId="2" xfId="0" applyFont="1" applyBorder="1"/>
    <xf numFmtId="165" fontId="0" fillId="0" borderId="3" xfId="0" applyNumberFormat="1" applyBorder="1"/>
    <xf numFmtId="0" fontId="1"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7" xfId="0" applyFont="1" applyBorder="1" applyAlignment="1">
      <alignment horizontal="center"/>
    </xf>
    <xf numFmtId="0" fontId="1" fillId="0" borderId="0" xfId="0" applyFont="1" applyBorder="1" applyAlignment="1">
      <alignment horizontal="center"/>
    </xf>
    <xf numFmtId="0" fontId="1" fillId="0" borderId="8" xfId="0" applyFont="1" applyBorder="1" applyAlignment="1">
      <alignment horizontal="center"/>
    </xf>
    <xf numFmtId="0" fontId="0" fillId="0" borderId="7" xfId="0" applyBorder="1"/>
    <xf numFmtId="0" fontId="0" fillId="0" borderId="0" xfId="0" applyBorder="1"/>
    <xf numFmtId="0" fontId="0" fillId="0" borderId="8" xfId="0" applyBorder="1"/>
    <xf numFmtId="0" fontId="7" fillId="0" borderId="0" xfId="0" applyFont="1" applyBorder="1"/>
    <xf numFmtId="165" fontId="0" fillId="0" borderId="0" xfId="1" applyNumberFormat="1" applyFont="1" applyBorder="1"/>
    <xf numFmtId="0" fontId="1" fillId="0" borderId="0" xfId="0" applyFont="1" applyBorder="1"/>
    <xf numFmtId="165" fontId="1" fillId="0" borderId="0" xfId="0" applyNumberFormat="1" applyFont="1" applyBorder="1"/>
    <xf numFmtId="165" fontId="8" fillId="0" borderId="0" xfId="0" applyNumberFormat="1" applyFont="1" applyBorder="1"/>
    <xf numFmtId="0" fontId="0" fillId="0" borderId="9" xfId="0" applyBorder="1"/>
    <xf numFmtId="0" fontId="0" fillId="0" borderId="10" xfId="0" applyBorder="1"/>
    <xf numFmtId="0" fontId="0" fillId="0" borderId="4" xfId="0" applyBorder="1"/>
    <xf numFmtId="0" fontId="0" fillId="0" borderId="5" xfId="0" applyBorder="1"/>
    <xf numFmtId="0" fontId="0" fillId="0" borderId="6" xfId="0" applyBorder="1"/>
    <xf numFmtId="0" fontId="1" fillId="0" borderId="2" xfId="0" applyFont="1" applyBorder="1" applyAlignment="1">
      <alignment horizontal="center"/>
    </xf>
    <xf numFmtId="0" fontId="10" fillId="0" borderId="7" xfId="0" applyFont="1" applyBorder="1"/>
    <xf numFmtId="0" fontId="1" fillId="0" borderId="11" xfId="0" applyFont="1" applyBorder="1"/>
    <xf numFmtId="0" fontId="9" fillId="0" borderId="7" xfId="0" applyFont="1" applyBorder="1"/>
    <xf numFmtId="0" fontId="10" fillId="0" borderId="7" xfId="0" applyFont="1" applyBorder="1" applyAlignment="1">
      <alignment horizontal="left" indent="1"/>
    </xf>
    <xf numFmtId="165" fontId="7" fillId="0" borderId="11" xfId="0" applyNumberFormat="1" applyFont="1" applyBorder="1"/>
    <xf numFmtId="3" fontId="0" fillId="0" borderId="0" xfId="0" applyNumberFormat="1" applyBorder="1"/>
    <xf numFmtId="0" fontId="9" fillId="0" borderId="9" xfId="0" applyFont="1" applyBorder="1"/>
    <xf numFmtId="3" fontId="9" fillId="0" borderId="8" xfId="0" applyNumberFormat="1" applyFont="1" applyBorder="1"/>
    <xf numFmtId="0" fontId="1" fillId="0" borderId="5" xfId="0" applyFont="1" applyBorder="1" applyAlignment="1">
      <alignment horizontal="center"/>
    </xf>
    <xf numFmtId="0" fontId="1" fillId="0" borderId="6"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0" fillId="0" borderId="12" xfId="0" applyFont="1" applyBorder="1"/>
    <xf numFmtId="0" fontId="1" fillId="0" borderId="13" xfId="0" applyFont="1" applyBorder="1"/>
    <xf numFmtId="165" fontId="1" fillId="0" borderId="13" xfId="0" applyNumberFormat="1" applyFont="1" applyBorder="1"/>
    <xf numFmtId="0" fontId="4" fillId="0" borderId="0" xfId="0" applyFont="1" applyAlignment="1">
      <alignment vertical="center"/>
    </xf>
    <xf numFmtId="0" fontId="5" fillId="0" borderId="0" xfId="0" applyFont="1" applyAlignment="1">
      <alignment vertical="center"/>
    </xf>
    <xf numFmtId="0" fontId="0" fillId="0" borderId="14" xfId="0" applyBorder="1"/>
    <xf numFmtId="0" fontId="0" fillId="2" borderId="14" xfId="0" applyFont="1" applyFill="1" applyBorder="1"/>
    <xf numFmtId="0" fontId="0" fillId="0" borderId="14"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4" fillId="3" borderId="15" xfId="0" applyFont="1" applyFill="1" applyBorder="1" applyAlignment="1">
      <alignment vertical="center"/>
    </xf>
    <xf numFmtId="0" fontId="4" fillId="3" borderId="16" xfId="0" applyFont="1" applyFill="1" applyBorder="1" applyAlignment="1">
      <alignment vertical="center"/>
    </xf>
    <xf numFmtId="0" fontId="4" fillId="3" borderId="17" xfId="0" applyFont="1" applyFill="1" applyBorder="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146050</xdr:colOff>
      <xdr:row>0</xdr:row>
      <xdr:rowOff>323850</xdr:rowOff>
    </xdr:from>
    <xdr:to>
      <xdr:col>13</xdr:col>
      <xdr:colOff>482600</xdr:colOff>
      <xdr:row>16</xdr:row>
      <xdr:rowOff>19050</xdr:rowOff>
    </xdr:to>
    <xdr:sp macro="" textlink="">
      <xdr:nvSpPr>
        <xdr:cNvPr id="2" name="TextBox 1"/>
        <xdr:cNvSpPr txBox="1"/>
      </xdr:nvSpPr>
      <xdr:spPr>
        <a:xfrm>
          <a:off x="8763000" y="323850"/>
          <a:ext cx="2774950" cy="283210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US"/>
            <a:t>✔ Chart of Accounts = list of all financial accounts</a:t>
          </a:r>
          <a:br>
            <a:rPr lang="en-US"/>
          </a:br>
          <a:r>
            <a:rPr lang="en-US"/>
            <a:t>✔ Tells you what category each account belongs to</a:t>
          </a:r>
          <a:br>
            <a:rPr lang="en-US"/>
          </a:br>
          <a:r>
            <a:rPr lang="en-US"/>
            <a:t>✔ Helps organize reporting</a:t>
          </a:r>
          <a:br>
            <a:rPr lang="en-US"/>
          </a:br>
          <a:r>
            <a:rPr lang="en-US"/>
            <a:t>✔ Helps Excel formulas classify transactions automatically</a:t>
          </a:r>
        </a:p>
        <a:p>
          <a:endParaRPr lang="en-US" sz="1100"/>
        </a:p>
        <a:p>
          <a:r>
            <a:rPr lang="en-US" sz="1100"/>
            <a:t>=</a:t>
          </a:r>
          <a:r>
            <a:rPr lang="en-US" sz="1100" b="1"/>
            <a:t>VLOOKUP(A2,ChartOfAccounts!A:C,2,0)</a:t>
          </a:r>
        </a:p>
        <a:p>
          <a:endParaRPr lang="en-US" sz="1100"/>
        </a:p>
        <a:p>
          <a:r>
            <a:rPr lang="en-US"/>
            <a:t>you can use VLOOKUP to pull information like:</a:t>
          </a:r>
        </a:p>
        <a:p>
          <a:r>
            <a:rPr lang="en-US"/>
            <a:t>Account name</a:t>
          </a:r>
        </a:p>
        <a:p>
          <a:r>
            <a:rPr lang="en-US"/>
            <a:t>Account type (Asset, Expense, etc.)</a:t>
          </a:r>
        </a:p>
        <a:p>
          <a:r>
            <a:rPr lang="en-US"/>
            <a:t>Category (Current Asset, Fixed Asset)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539750</xdr:colOff>
      <xdr:row>15</xdr:row>
      <xdr:rowOff>114300</xdr:rowOff>
    </xdr:from>
    <xdr:to>
      <xdr:col>12</xdr:col>
      <xdr:colOff>82550</xdr:colOff>
      <xdr:row>28</xdr:row>
      <xdr:rowOff>50800</xdr:rowOff>
    </xdr:to>
    <xdr:sp macro="" textlink="">
      <xdr:nvSpPr>
        <xdr:cNvPr id="2" name="TextBox 1"/>
        <xdr:cNvSpPr txBox="1"/>
      </xdr:nvSpPr>
      <xdr:spPr>
        <a:xfrm>
          <a:off x="7848600" y="2876550"/>
          <a:ext cx="3200400" cy="2330450"/>
        </a:xfrm>
        <a:prstGeom prst="rect">
          <a:avLst/>
        </a:prstGeom>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en-US"/>
            <a:t>In Excel, journal entries help you:</a:t>
          </a:r>
        </a:p>
        <a:p>
          <a:r>
            <a:rPr lang="en-US"/>
            <a:t>-Build financial statements.</a:t>
          </a:r>
        </a:p>
        <a:p>
          <a:r>
            <a:rPr lang="en-US"/>
            <a:t>-Track changes to each account.</a:t>
          </a:r>
        </a:p>
        <a:p>
          <a:r>
            <a:rPr lang="en-US"/>
            <a:t>-Use lookup formulas to classify entries using the </a:t>
          </a:r>
          <a:r>
            <a:rPr lang="en-US" b="1"/>
            <a:t>Chart of Accounts</a:t>
          </a:r>
          <a:r>
            <a:rPr lang="en-US"/>
            <a:t>.</a:t>
          </a:r>
        </a:p>
        <a:p>
          <a:endParaRPr lang="en-US"/>
        </a:p>
        <a:p>
          <a:r>
            <a:rPr lang="en-US"/>
            <a:t>This can help you automate:</a:t>
          </a:r>
          <a:br>
            <a:rPr lang="en-US"/>
          </a:br>
          <a:r>
            <a:rPr lang="en-US"/>
            <a:t>✅ Ledger</a:t>
          </a:r>
          <a:br>
            <a:rPr lang="en-US"/>
          </a:br>
          <a:r>
            <a:rPr lang="en-US"/>
            <a:t>✅ Trial balance</a:t>
          </a:r>
          <a:br>
            <a:rPr lang="en-US"/>
          </a:br>
          <a:r>
            <a:rPr lang="en-US"/>
            <a:t>✅ Financial statements</a:t>
          </a:r>
        </a:p>
        <a:p>
          <a:endParaRPr lang="en-US"/>
        </a:p>
        <a:p>
          <a:endParaRPr lang="en-US"/>
        </a:p>
        <a:p>
          <a:endParaRPr lang="en-US"/>
        </a:p>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292100</xdr:colOff>
      <xdr:row>1</xdr:row>
      <xdr:rowOff>209550</xdr:rowOff>
    </xdr:from>
    <xdr:to>
      <xdr:col>12</xdr:col>
      <xdr:colOff>292100</xdr:colOff>
      <xdr:row>15</xdr:row>
      <xdr:rowOff>9525</xdr:rowOff>
    </xdr:to>
    <mc:AlternateContent xmlns:mc="http://schemas.openxmlformats.org/markup-compatibility/2006">
      <mc:Choice xmlns:a14="http://schemas.microsoft.com/office/drawing/2010/main" Requires="a14">
        <xdr:graphicFrame macro="">
          <xdr:nvGraphicFramePr>
            <xdr:cNvPr id="2" name="Account 1"/>
            <xdr:cNvGraphicFramePr/>
          </xdr:nvGraphicFramePr>
          <xdr:xfrm>
            <a:off x="0" y="0"/>
            <a:ext cx="0" cy="0"/>
          </xdr:xfrm>
          <a:graphic>
            <a:graphicData uri="http://schemas.microsoft.com/office/drawing/2010/slicer">
              <sle:slicer xmlns:sle="http://schemas.microsoft.com/office/drawing/2010/slicer" name="Account 1"/>
            </a:graphicData>
          </a:graphic>
        </xdr:graphicFrame>
      </mc:Choice>
      <mc:Fallback>
        <xdr:sp macro="" textlink="">
          <xdr:nvSpPr>
            <xdr:cNvPr id="0" name=""/>
            <xdr:cNvSpPr>
              <a:spLocks noTextEdit="1"/>
            </xdr:cNvSpPr>
          </xdr:nvSpPr>
          <xdr:spPr>
            <a:xfrm>
              <a:off x="908685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xdr:col>
      <xdr:colOff>57150</xdr:colOff>
      <xdr:row>10</xdr:row>
      <xdr:rowOff>146050</xdr:rowOff>
    </xdr:from>
    <xdr:to>
      <xdr:col>2</xdr:col>
      <xdr:colOff>1797050</xdr:colOff>
      <xdr:row>22</xdr:row>
      <xdr:rowOff>101600</xdr:rowOff>
    </xdr:to>
    <xdr:sp macro="" textlink="">
      <xdr:nvSpPr>
        <xdr:cNvPr id="3" name="TextBox 2"/>
        <xdr:cNvSpPr txBox="1"/>
      </xdr:nvSpPr>
      <xdr:spPr>
        <a:xfrm>
          <a:off x="1562100" y="2133600"/>
          <a:ext cx="2508250" cy="21653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b="1"/>
            <a:t>✅ Easiest way: Pivot Table</a:t>
          </a:r>
        </a:p>
        <a:p>
          <a:r>
            <a:rPr lang="en-US"/>
            <a:t>Journal entries must include:</a:t>
          </a:r>
        </a:p>
        <a:p>
          <a:pPr lvl="1"/>
          <a:r>
            <a:rPr lang="en-US"/>
            <a:t>Date</a:t>
          </a:r>
        </a:p>
        <a:p>
          <a:pPr lvl="1"/>
          <a:r>
            <a:rPr lang="en-US"/>
            <a:t>Account</a:t>
          </a:r>
        </a:p>
        <a:p>
          <a:pPr lvl="1"/>
          <a:r>
            <a:rPr lang="en-US"/>
            <a:t>Debit</a:t>
          </a:r>
        </a:p>
        <a:p>
          <a:pPr lvl="1"/>
          <a:r>
            <a:rPr lang="en-US"/>
            <a:t>Credit</a:t>
          </a:r>
        </a:p>
        <a:p>
          <a:r>
            <a:rPr lang="en-US"/>
            <a:t>Insert Pivot Table</a:t>
          </a:r>
        </a:p>
        <a:p>
          <a:r>
            <a:rPr lang="en-US"/>
            <a:t>Fields:</a:t>
          </a:r>
        </a:p>
        <a:p>
          <a:pPr lvl="1"/>
          <a:r>
            <a:rPr lang="en-US" b="1"/>
            <a:t>Rows</a:t>
          </a:r>
          <a:r>
            <a:rPr lang="en-US"/>
            <a:t>: Account → Date</a:t>
          </a:r>
        </a:p>
        <a:p>
          <a:pPr lvl="1"/>
          <a:r>
            <a:rPr lang="en-US" b="1"/>
            <a:t>Values</a:t>
          </a:r>
          <a:r>
            <a:rPr lang="en-US"/>
            <a:t>: Sum of Debit, Sum of Credit</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762000</xdr:colOff>
      <xdr:row>17</xdr:row>
      <xdr:rowOff>44450</xdr:rowOff>
    </xdr:from>
    <xdr:to>
      <xdr:col>7</xdr:col>
      <xdr:colOff>425450</xdr:colOff>
      <xdr:row>25</xdr:row>
      <xdr:rowOff>139700</xdr:rowOff>
    </xdr:to>
    <xdr:sp macro="" textlink="">
      <xdr:nvSpPr>
        <xdr:cNvPr id="2" name="TextBox 1"/>
        <xdr:cNvSpPr txBox="1"/>
      </xdr:nvSpPr>
      <xdr:spPr>
        <a:xfrm>
          <a:off x="4572000" y="3321050"/>
          <a:ext cx="3048000" cy="156845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We can copy ledger account, and remove data</a:t>
          </a:r>
          <a:r>
            <a:rPr lang="en-US" sz="1100" baseline="0"/>
            <a:t> validation, and date, and description from pivot table as we do not require those. </a:t>
          </a:r>
        </a:p>
        <a:p>
          <a:endParaRPr lang="en-US" sz="1100" baseline="0"/>
        </a:p>
        <a:p>
          <a:r>
            <a:rPr lang="en-US" sz="1100" baseline="0"/>
            <a:t>Either you can go back to Journal entries, and create pivot table for Trial balance. </a:t>
          </a:r>
          <a:endParaRPr lang="en-US" sz="1100"/>
        </a:p>
      </xdr:txBody>
    </xdr:sp>
    <xdr:clientData/>
  </xdr:twoCellAnchor>
  <xdr:twoCellAnchor>
    <xdr:from>
      <xdr:col>8</xdr:col>
      <xdr:colOff>406400</xdr:colOff>
      <xdr:row>6</xdr:row>
      <xdr:rowOff>0</xdr:rowOff>
    </xdr:from>
    <xdr:to>
      <xdr:col>12</xdr:col>
      <xdr:colOff>304800</xdr:colOff>
      <xdr:row>10</xdr:row>
      <xdr:rowOff>158750</xdr:rowOff>
    </xdr:to>
    <xdr:sp macro="" textlink="">
      <xdr:nvSpPr>
        <xdr:cNvPr id="3" name="TextBox 2"/>
        <xdr:cNvSpPr txBox="1"/>
      </xdr:nvSpPr>
      <xdr:spPr>
        <a:xfrm>
          <a:off x="8210550" y="1250950"/>
          <a:ext cx="2336800" cy="895350"/>
        </a:xfrm>
        <a:prstGeom prst="rect">
          <a:avLst/>
        </a:prstGeom>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US" sz="1100"/>
            <a:t>This is</a:t>
          </a:r>
          <a:r>
            <a:rPr lang="en-US" sz="1100" baseline="0"/>
            <a:t> a background work where can make it easier to find out which account goes where in our balance sheet. This help us with balance sheet creation. </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127000</xdr:colOff>
      <xdr:row>2</xdr:row>
      <xdr:rowOff>38100</xdr:rowOff>
    </xdr:from>
    <xdr:to>
      <xdr:col>16</xdr:col>
      <xdr:colOff>425450</xdr:colOff>
      <xdr:row>4</xdr:row>
      <xdr:rowOff>190500</xdr:rowOff>
    </xdr:to>
    <xdr:sp macro="" textlink="">
      <xdr:nvSpPr>
        <xdr:cNvPr id="2" name="TextBox 1"/>
        <xdr:cNvSpPr txBox="1"/>
      </xdr:nvSpPr>
      <xdr:spPr>
        <a:xfrm>
          <a:off x="7061200" y="546100"/>
          <a:ext cx="3346450" cy="66040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100"/>
            <a:t>We can create '</a:t>
          </a:r>
          <a:r>
            <a:rPr lang="en-US" sz="1100" b="1"/>
            <a:t>'Income Statement</a:t>
          </a:r>
          <a:r>
            <a:rPr lang="en-US" sz="1100"/>
            <a:t>'' from </a:t>
          </a:r>
          <a:r>
            <a:rPr lang="en-US" sz="1100" b="1"/>
            <a:t>Trial balance</a:t>
          </a:r>
          <a:r>
            <a:rPr lang="en-US" sz="1100"/>
            <a:t>. We use VLOOKUP</a:t>
          </a:r>
          <a:r>
            <a:rPr lang="en-US" sz="1100" baseline="0"/>
            <a:t> formula to get the values from Trial Balance. </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539750</xdr:colOff>
      <xdr:row>2</xdr:row>
      <xdr:rowOff>171450</xdr:rowOff>
    </xdr:from>
    <xdr:to>
      <xdr:col>16</xdr:col>
      <xdr:colOff>584200</xdr:colOff>
      <xdr:row>7</xdr:row>
      <xdr:rowOff>19050</xdr:rowOff>
    </xdr:to>
    <xdr:sp macro="" textlink="">
      <xdr:nvSpPr>
        <xdr:cNvPr id="2" name="TextBox 1"/>
        <xdr:cNvSpPr txBox="1"/>
      </xdr:nvSpPr>
      <xdr:spPr>
        <a:xfrm>
          <a:off x="7829550" y="546100"/>
          <a:ext cx="3092450" cy="7747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r>
            <a:rPr lang="en-US" sz="1100"/>
            <a:t>VLOOKUP</a:t>
          </a:r>
          <a:r>
            <a:rPr lang="en-US" sz="1100" baseline="0"/>
            <a:t> formula is used to get the values for Balance sheet from Trial Balance. And we also get ''NET profit '' Income statement.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63.67739837963" createdVersion="4" refreshedVersion="4" minRefreshableVersion="3" recordCount="28">
  <cacheSource type="worksheet">
    <worksheetSource name="Table_Journal"/>
  </cacheSource>
  <cacheFields count="7">
    <cacheField name="Date" numFmtId="15">
      <sharedItems containsSemiMixedTypes="0" containsNonDate="0" containsDate="1" containsString="0" minDate="2022-01-01T00:00:00" maxDate="2022-03-31T00:00:00" count="12">
        <d v="2022-01-01T00:00:00"/>
        <d v="2022-01-02T00:00:00"/>
        <d v="2022-01-03T00:00:00"/>
        <d v="2022-01-04T00:00:00"/>
        <d v="2022-01-10T00:00:00"/>
        <d v="2022-01-15T00:00:00"/>
        <d v="2022-01-18T00:00:00"/>
        <d v="2022-01-30T00:00:00"/>
        <d v="2022-02-02T00:00:00"/>
        <d v="2022-02-15T00:00:00"/>
        <d v="2022-03-30T00:00:00"/>
        <d v="2022-02-10T00:00:00"/>
      </sharedItems>
    </cacheField>
    <cacheField name="Description " numFmtId="0">
      <sharedItems count="12">
        <s v="Establish a business"/>
        <s v="Bank Deposits"/>
        <s v="Purchased Inventory"/>
        <s v="Sold inventory for Cash"/>
        <s v="Adjust inventory agains COGs"/>
        <s v="Sold inventory on credit"/>
        <s v="Paid Electricity"/>
        <s v="Paid Salary "/>
        <s v="Paid to Mr.Zubair"/>
        <s v="Received from Mr.Kazim"/>
        <s v="Taxes Payable to Government"/>
        <s v="Purchased a shop"/>
      </sharedItems>
    </cacheField>
    <cacheField name="Account" numFmtId="0">
      <sharedItems count="13">
        <s v="Cash"/>
        <s v="Equity -Owais"/>
        <s v="Bank 1122"/>
        <s v="Inventory "/>
        <s v="Mr.Zubair"/>
        <s v="Sales"/>
        <s v="Cost of Goods Sold"/>
        <s v="Kazim"/>
        <s v="Electricity "/>
        <s v="Salary "/>
        <s v="Taxes"/>
        <s v="Govt"/>
        <s v="Shop"/>
      </sharedItems>
    </cacheField>
    <cacheField name="Debit" numFmtId="0">
      <sharedItems containsString="0" containsBlank="1" containsNumber="1" containsInteger="1" minValue="15000" maxValue="1000000"/>
    </cacheField>
    <cacheField name="Credit " numFmtId="0">
      <sharedItems containsString="0" containsBlank="1" containsNumber="1" containsInteger="1" minValue="15000" maxValue="1000000"/>
    </cacheField>
    <cacheField name="Comment " numFmtId="0">
      <sharedItems containsNonDate="0" containsString="0" containsBlank="1"/>
    </cacheField>
    <cacheField name="Balance" numFmtId="0" formula="Debit -'Credit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8">
  <r>
    <x v="0"/>
    <x v="0"/>
    <x v="0"/>
    <n v="1000000"/>
    <m/>
    <m/>
  </r>
  <r>
    <x v="0"/>
    <x v="0"/>
    <x v="1"/>
    <m/>
    <n v="1000000"/>
    <m/>
  </r>
  <r>
    <x v="1"/>
    <x v="1"/>
    <x v="2"/>
    <n v="500000"/>
    <m/>
    <m/>
  </r>
  <r>
    <x v="1"/>
    <x v="1"/>
    <x v="0"/>
    <m/>
    <n v="500000"/>
    <m/>
  </r>
  <r>
    <x v="2"/>
    <x v="2"/>
    <x v="3"/>
    <n v="600000"/>
    <m/>
    <m/>
  </r>
  <r>
    <x v="2"/>
    <x v="2"/>
    <x v="4"/>
    <m/>
    <n v="600000"/>
    <m/>
  </r>
  <r>
    <x v="3"/>
    <x v="2"/>
    <x v="3"/>
    <n v="200000"/>
    <m/>
    <m/>
  </r>
  <r>
    <x v="3"/>
    <x v="2"/>
    <x v="2"/>
    <m/>
    <n v="200000"/>
    <m/>
  </r>
  <r>
    <x v="4"/>
    <x v="3"/>
    <x v="0"/>
    <n v="400000"/>
    <m/>
    <m/>
  </r>
  <r>
    <x v="4"/>
    <x v="3"/>
    <x v="5"/>
    <m/>
    <n v="400000"/>
    <m/>
  </r>
  <r>
    <x v="4"/>
    <x v="4"/>
    <x v="6"/>
    <n v="300000"/>
    <m/>
    <m/>
  </r>
  <r>
    <x v="4"/>
    <x v="4"/>
    <x v="3"/>
    <m/>
    <n v="300000"/>
    <m/>
  </r>
  <r>
    <x v="5"/>
    <x v="5"/>
    <x v="7"/>
    <n v="300000"/>
    <m/>
    <m/>
  </r>
  <r>
    <x v="5"/>
    <x v="5"/>
    <x v="5"/>
    <m/>
    <n v="300000"/>
    <m/>
  </r>
  <r>
    <x v="5"/>
    <x v="4"/>
    <x v="6"/>
    <n v="150000"/>
    <m/>
    <m/>
  </r>
  <r>
    <x v="5"/>
    <x v="4"/>
    <x v="3"/>
    <m/>
    <n v="150000"/>
    <m/>
  </r>
  <r>
    <x v="6"/>
    <x v="6"/>
    <x v="8"/>
    <n v="15000"/>
    <m/>
    <m/>
  </r>
  <r>
    <x v="6"/>
    <x v="6"/>
    <x v="2"/>
    <m/>
    <n v="15000"/>
    <m/>
  </r>
  <r>
    <x v="7"/>
    <x v="7"/>
    <x v="9"/>
    <n v="100000"/>
    <m/>
    <m/>
  </r>
  <r>
    <x v="7"/>
    <x v="7"/>
    <x v="0"/>
    <m/>
    <n v="100000"/>
    <m/>
  </r>
  <r>
    <x v="8"/>
    <x v="8"/>
    <x v="4"/>
    <n v="100000"/>
    <m/>
    <m/>
  </r>
  <r>
    <x v="8"/>
    <x v="8"/>
    <x v="0"/>
    <m/>
    <n v="100000"/>
    <m/>
  </r>
  <r>
    <x v="9"/>
    <x v="9"/>
    <x v="2"/>
    <n v="150000"/>
    <m/>
    <m/>
  </r>
  <r>
    <x v="9"/>
    <x v="9"/>
    <x v="7"/>
    <m/>
    <n v="150000"/>
    <m/>
  </r>
  <r>
    <x v="10"/>
    <x v="10"/>
    <x v="10"/>
    <n v="20250"/>
    <m/>
    <m/>
  </r>
  <r>
    <x v="10"/>
    <x v="10"/>
    <x v="11"/>
    <m/>
    <n v="20250"/>
    <m/>
  </r>
  <r>
    <x v="11"/>
    <x v="11"/>
    <x v="12"/>
    <n v="100000"/>
    <m/>
    <m/>
  </r>
  <r>
    <x v="11"/>
    <x v="11"/>
    <x v="0"/>
    <m/>
    <n v="10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4" minRefreshableVersion="3" itemPrintTitles="1" createdVersion="4" indent="0" compact="0" compactData="0" multipleFieldFilters="0">
  <location ref="A3:F6" firstHeaderRow="0" firstDataRow="1" firstDataCol="3"/>
  <pivotFields count="7">
    <pivotField axis="axisRow" compact="0" numFmtId="15"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2">
        <item x="4"/>
        <item x="1"/>
        <item x="0"/>
        <item x="6"/>
        <item x="7"/>
        <item x="8"/>
        <item x="2"/>
        <item x="9"/>
        <item x="3"/>
        <item x="5"/>
        <item x="10"/>
        <item x="11"/>
      </items>
      <extLst>
        <ext xmlns:x14="http://schemas.microsoft.com/office/spreadsheetml/2009/9/main" uri="{2946ED86-A175-432a-8AC1-64E0C546D7DE}">
          <x14:pivotField fillDownLabels="1"/>
        </ext>
      </extLst>
    </pivotField>
    <pivotField axis="axisRow" compact="0" outline="0" showAll="0" defaultSubtotal="0">
      <items count="13">
        <item h="1" x="2"/>
        <item h="1" x="0"/>
        <item h="1" x="6"/>
        <item h="1" x="8"/>
        <item h="1" x="1"/>
        <item h="1" x="3"/>
        <item h="1" x="7"/>
        <item x="4"/>
        <item h="1" x="9"/>
        <item h="1" x="5"/>
        <item h="1" x="10"/>
        <item h="1" x="11"/>
        <item h="1" x="1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0"/>
    <field x="2"/>
    <field x="1"/>
  </rowFields>
  <rowItems count="3">
    <i>
      <x v="2"/>
      <x v="7"/>
      <x v="6"/>
    </i>
    <i>
      <x v="8"/>
      <x v="7"/>
      <x v="5"/>
    </i>
    <i t="grand">
      <x/>
    </i>
  </rowItems>
  <colFields count="1">
    <field x="-2"/>
  </colFields>
  <colItems count="3">
    <i>
      <x/>
    </i>
    <i i="1">
      <x v="1"/>
    </i>
    <i i="2">
      <x v="2"/>
    </i>
  </colItems>
  <dataFields count="3">
    <dataField name="Sum of Debit" fld="3" baseField="2" baseItem="7" numFmtId="3"/>
    <dataField name="Sum of Credit " fld="4" baseField="2" baseItem="7" numFmtId="3"/>
    <dataField name="Sum of Balance" fld="6" baseField="0" baseItem="0" numFmtId="41"/>
  </dataField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pivotTables/pivotTable2.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4" minRefreshableVersion="3" itemPrintTitles="1" createdVersion="4" indent="0" compact="0" compactData="0" multipleFieldFilters="0">
  <location ref="A3:D17" firstHeaderRow="0" firstDataRow="1" firstDataCol="1"/>
  <pivotFields count="7">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3">
        <item x="2"/>
        <item x="0"/>
        <item x="6"/>
        <item x="8"/>
        <item x="1"/>
        <item x="3"/>
        <item x="7"/>
        <item x="4"/>
        <item x="9"/>
        <item x="5"/>
        <item x="10"/>
        <item x="11"/>
        <item x="12"/>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Debit" fld="3" baseField="2" baseItem="7" numFmtId="3"/>
    <dataField name="Sum of Credit " fld="4" baseField="2" baseItem="7" numFmtId="3"/>
    <dataField name="Sum of Balance" fld="6" baseField="0" baseItem="0" numFmtId="41"/>
  </dataFields>
  <pivotTableStyleInfo name="PivotStyleLight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count1" sourceName="Account">
  <pivotTables>
    <pivotTable tabId="5" name="PivotTable1"/>
  </pivotTables>
  <data>
    <tabular pivotCacheId="1">
      <items count="13">
        <i x="2"/>
        <i x="0"/>
        <i x="6"/>
        <i x="8"/>
        <i x="1"/>
        <i x="11"/>
        <i x="3"/>
        <i x="7"/>
        <i x="4" s="1"/>
        <i x="9"/>
        <i x="5"/>
        <i x="12"/>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count 1" cache="Slicer_Account1" caption="Account" rowHeight="241300"/>
</slicers>
</file>

<file path=xl/tables/table1.xml><?xml version="1.0" encoding="utf-8"?>
<table xmlns="http://schemas.openxmlformats.org/spreadsheetml/2006/main" id="1" name="Table_Journal" displayName="Table_Journal" ref="A1:F29" totalsRowShown="0">
  <autoFilter ref="A1:F29"/>
  <tableColumns count="6">
    <tableColumn id="1" name="Date"/>
    <tableColumn id="2" name="Description "/>
    <tableColumn id="3" name="Account"/>
    <tableColumn id="4" name="Debit"/>
    <tableColumn id="5" name="Credit "/>
    <tableColumn id="6" name="Commen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showGridLines="0" topLeftCell="E1" workbookViewId="0">
      <selection activeCell="O18" sqref="O18"/>
    </sheetView>
  </sheetViews>
  <sheetFormatPr defaultRowHeight="14.5" x14ac:dyDescent="0.35"/>
  <cols>
    <col min="2" max="2" width="5" customWidth="1"/>
    <col min="3" max="3" width="16.6328125" customWidth="1"/>
    <col min="4" max="4" width="15.6328125" customWidth="1"/>
    <col min="5" max="5" width="20.453125" customWidth="1"/>
    <col min="6" max="6" width="19.08984375" customWidth="1"/>
    <col min="7" max="7" width="20.36328125" customWidth="1"/>
  </cols>
  <sheetData>
    <row r="1" spans="1:7" s="50" customFormat="1" ht="29" customHeight="1" x14ac:dyDescent="0.35">
      <c r="A1" s="49" t="s">
        <v>15</v>
      </c>
      <c r="B1" s="49"/>
      <c r="C1" s="49" t="s">
        <v>16</v>
      </c>
      <c r="D1" s="49" t="s">
        <v>6</v>
      </c>
      <c r="E1" s="59" t="s">
        <v>53</v>
      </c>
      <c r="F1" s="60" t="s">
        <v>21</v>
      </c>
      <c r="G1" s="61" t="s">
        <v>23</v>
      </c>
    </row>
    <row r="2" spans="1:7" x14ac:dyDescent="0.35">
      <c r="A2" t="s">
        <v>6</v>
      </c>
      <c r="C2" t="s">
        <v>11</v>
      </c>
      <c r="D2" t="s">
        <v>6</v>
      </c>
      <c r="E2" s="54" t="s">
        <v>54</v>
      </c>
      <c r="F2" s="52" t="s">
        <v>19</v>
      </c>
      <c r="G2" s="55" t="s">
        <v>11</v>
      </c>
    </row>
    <row r="3" spans="1:7" x14ac:dyDescent="0.35">
      <c r="A3" t="s">
        <v>7</v>
      </c>
      <c r="C3" t="s">
        <v>12</v>
      </c>
      <c r="D3" t="s">
        <v>6</v>
      </c>
      <c r="E3" s="54" t="s">
        <v>54</v>
      </c>
      <c r="F3" s="53" t="s">
        <v>20</v>
      </c>
      <c r="G3" s="55" t="s">
        <v>8</v>
      </c>
    </row>
    <row r="4" spans="1:7" x14ac:dyDescent="0.35">
      <c r="A4" t="s">
        <v>8</v>
      </c>
      <c r="C4" t="s">
        <v>13</v>
      </c>
      <c r="D4" t="s">
        <v>7</v>
      </c>
      <c r="E4" s="54" t="s">
        <v>54</v>
      </c>
      <c r="F4" s="51" t="s">
        <v>24</v>
      </c>
      <c r="G4" s="55" t="s">
        <v>11</v>
      </c>
    </row>
    <row r="5" spans="1:7" x14ac:dyDescent="0.35">
      <c r="A5" t="s">
        <v>9</v>
      </c>
      <c r="C5" t="s">
        <v>22</v>
      </c>
      <c r="D5" t="s">
        <v>7</v>
      </c>
      <c r="E5" s="54" t="s">
        <v>54</v>
      </c>
      <c r="F5" s="51" t="s">
        <v>27</v>
      </c>
      <c r="G5" s="55" t="s">
        <v>11</v>
      </c>
    </row>
    <row r="6" spans="1:7" x14ac:dyDescent="0.35">
      <c r="A6" t="s">
        <v>10</v>
      </c>
      <c r="C6" t="s">
        <v>8</v>
      </c>
      <c r="D6" t="s">
        <v>8</v>
      </c>
      <c r="E6" s="54" t="s">
        <v>54</v>
      </c>
      <c r="F6" s="51" t="s">
        <v>28</v>
      </c>
      <c r="G6" s="55" t="s">
        <v>13</v>
      </c>
    </row>
    <row r="7" spans="1:7" x14ac:dyDescent="0.35">
      <c r="C7" t="s">
        <v>9</v>
      </c>
      <c r="D7" t="s">
        <v>9</v>
      </c>
      <c r="E7" s="54" t="s">
        <v>55</v>
      </c>
      <c r="F7" s="51" t="s">
        <v>33</v>
      </c>
      <c r="G7" s="55" t="s">
        <v>10</v>
      </c>
    </row>
    <row r="8" spans="1:7" x14ac:dyDescent="0.35">
      <c r="C8" t="s">
        <v>10</v>
      </c>
      <c r="D8" t="s">
        <v>10</v>
      </c>
      <c r="E8" s="54" t="s">
        <v>55</v>
      </c>
      <c r="F8" s="51" t="s">
        <v>35</v>
      </c>
      <c r="G8" s="55" t="s">
        <v>9</v>
      </c>
    </row>
    <row r="9" spans="1:7" x14ac:dyDescent="0.35">
      <c r="C9" t="s">
        <v>14</v>
      </c>
      <c r="D9" t="s">
        <v>14</v>
      </c>
      <c r="E9" s="54" t="s">
        <v>55</v>
      </c>
      <c r="F9" s="51" t="s">
        <v>38</v>
      </c>
      <c r="G9" s="55" t="s">
        <v>11</v>
      </c>
    </row>
    <row r="10" spans="1:7" x14ac:dyDescent="0.35">
      <c r="E10" s="54"/>
      <c r="F10" s="51" t="s">
        <v>41</v>
      </c>
      <c r="G10" s="55" t="s">
        <v>9</v>
      </c>
    </row>
    <row r="11" spans="1:7" x14ac:dyDescent="0.35">
      <c r="E11" s="54"/>
      <c r="F11" s="51" t="s">
        <v>42</v>
      </c>
      <c r="G11" s="55" t="s">
        <v>9</v>
      </c>
    </row>
    <row r="12" spans="1:7" x14ac:dyDescent="0.35">
      <c r="E12" s="54"/>
      <c r="F12" s="51" t="s">
        <v>62</v>
      </c>
      <c r="G12" s="55" t="s">
        <v>9</v>
      </c>
    </row>
    <row r="13" spans="1:7" x14ac:dyDescent="0.35">
      <c r="E13" s="54"/>
      <c r="F13" s="51" t="s">
        <v>63</v>
      </c>
      <c r="G13" s="55" t="s">
        <v>13</v>
      </c>
    </row>
    <row r="14" spans="1:7" x14ac:dyDescent="0.35">
      <c r="E14" s="54"/>
      <c r="F14" s="51" t="s">
        <v>66</v>
      </c>
      <c r="G14" s="55" t="s">
        <v>12</v>
      </c>
    </row>
    <row r="15" spans="1:7" ht="15" thickBot="1" x14ac:dyDescent="0.4">
      <c r="E15" s="56"/>
      <c r="F15" s="57"/>
      <c r="G15" s="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workbookViewId="0">
      <selection activeCell="G6" sqref="G6"/>
    </sheetView>
  </sheetViews>
  <sheetFormatPr defaultRowHeight="14.5" x14ac:dyDescent="0.35"/>
  <cols>
    <col min="1" max="1" width="12.6328125" customWidth="1"/>
    <col min="2" max="2" width="25.81640625" customWidth="1"/>
    <col min="3" max="3" width="19.36328125" customWidth="1"/>
    <col min="4" max="4" width="13.90625" customWidth="1"/>
    <col min="5" max="5" width="16.26953125" customWidth="1"/>
    <col min="6" max="6" width="16.6328125" customWidth="1"/>
  </cols>
  <sheetData>
    <row r="1" spans="1:9" x14ac:dyDescent="0.35">
      <c r="A1" t="s">
        <v>0</v>
      </c>
      <c r="B1" t="s">
        <v>1</v>
      </c>
      <c r="C1" t="s">
        <v>2</v>
      </c>
      <c r="D1" t="s">
        <v>3</v>
      </c>
      <c r="E1" t="s">
        <v>4</v>
      </c>
      <c r="F1" t="s">
        <v>5</v>
      </c>
      <c r="I1" t="s">
        <v>17</v>
      </c>
    </row>
    <row r="2" spans="1:9" x14ac:dyDescent="0.35">
      <c r="A2" s="1">
        <v>45658</v>
      </c>
      <c r="B2" t="s">
        <v>18</v>
      </c>
      <c r="C2" t="s">
        <v>19</v>
      </c>
      <c r="D2" s="2">
        <v>1000000</v>
      </c>
    </row>
    <row r="3" spans="1:9" x14ac:dyDescent="0.35">
      <c r="A3" s="1">
        <v>44562</v>
      </c>
      <c r="B3" t="s">
        <v>18</v>
      </c>
      <c r="C3" t="s">
        <v>20</v>
      </c>
      <c r="E3" s="2">
        <v>1000000</v>
      </c>
      <c r="I3" t="s">
        <v>25</v>
      </c>
    </row>
    <row r="4" spans="1:9" x14ac:dyDescent="0.35">
      <c r="A4" s="1">
        <v>44563</v>
      </c>
      <c r="B4" t="s">
        <v>26</v>
      </c>
      <c r="C4" t="s">
        <v>24</v>
      </c>
      <c r="D4" s="2">
        <v>500000</v>
      </c>
    </row>
    <row r="5" spans="1:9" x14ac:dyDescent="0.35">
      <c r="A5" s="1">
        <v>44563</v>
      </c>
      <c r="B5" t="s">
        <v>26</v>
      </c>
      <c r="C5" t="s">
        <v>19</v>
      </c>
      <c r="E5" s="2">
        <v>500000</v>
      </c>
      <c r="I5" t="s">
        <v>30</v>
      </c>
    </row>
    <row r="6" spans="1:9" x14ac:dyDescent="0.35">
      <c r="A6" s="1">
        <v>44564</v>
      </c>
      <c r="B6" t="s">
        <v>29</v>
      </c>
      <c r="C6" t="s">
        <v>27</v>
      </c>
      <c r="D6" s="2">
        <v>600000</v>
      </c>
    </row>
    <row r="7" spans="1:9" x14ac:dyDescent="0.35">
      <c r="A7" s="1">
        <v>44564</v>
      </c>
      <c r="B7" t="s">
        <v>29</v>
      </c>
      <c r="C7" t="s">
        <v>28</v>
      </c>
      <c r="E7" s="2">
        <v>600000</v>
      </c>
      <c r="I7" t="s">
        <v>31</v>
      </c>
    </row>
    <row r="8" spans="1:9" x14ac:dyDescent="0.35">
      <c r="A8" s="1">
        <v>44565</v>
      </c>
      <c r="B8" t="s">
        <v>29</v>
      </c>
      <c r="C8" t="s">
        <v>27</v>
      </c>
      <c r="D8" s="2">
        <v>200000</v>
      </c>
    </row>
    <row r="9" spans="1:9" x14ac:dyDescent="0.35">
      <c r="A9" s="1">
        <v>44565</v>
      </c>
      <c r="B9" t="s">
        <v>29</v>
      </c>
      <c r="C9" t="s">
        <v>24</v>
      </c>
      <c r="E9" s="2">
        <v>200000</v>
      </c>
      <c r="I9" t="s">
        <v>32</v>
      </c>
    </row>
    <row r="10" spans="1:9" x14ac:dyDescent="0.35">
      <c r="A10" s="1">
        <v>44571</v>
      </c>
      <c r="B10" t="s">
        <v>34</v>
      </c>
      <c r="C10" t="s">
        <v>19</v>
      </c>
      <c r="D10" s="2">
        <v>400000</v>
      </c>
    </row>
    <row r="11" spans="1:9" x14ac:dyDescent="0.35">
      <c r="A11" s="1">
        <v>44571</v>
      </c>
      <c r="B11" t="s">
        <v>34</v>
      </c>
      <c r="C11" t="s">
        <v>33</v>
      </c>
      <c r="E11" s="2">
        <v>400000</v>
      </c>
      <c r="I11" t="s">
        <v>37</v>
      </c>
    </row>
    <row r="12" spans="1:9" x14ac:dyDescent="0.35">
      <c r="A12" s="1">
        <v>44571</v>
      </c>
      <c r="B12" t="s">
        <v>36</v>
      </c>
      <c r="C12" t="s">
        <v>35</v>
      </c>
      <c r="D12" s="2">
        <v>300000</v>
      </c>
    </row>
    <row r="13" spans="1:9" x14ac:dyDescent="0.35">
      <c r="A13" s="1">
        <v>44571</v>
      </c>
      <c r="B13" t="s">
        <v>36</v>
      </c>
      <c r="C13" t="s">
        <v>27</v>
      </c>
      <c r="E13" s="2">
        <v>300000</v>
      </c>
      <c r="I13" t="s">
        <v>40</v>
      </c>
    </row>
    <row r="14" spans="1:9" x14ac:dyDescent="0.35">
      <c r="A14" s="1">
        <v>44576</v>
      </c>
      <c r="B14" t="s">
        <v>39</v>
      </c>
      <c r="C14" t="s">
        <v>38</v>
      </c>
      <c r="D14" s="2">
        <v>300000</v>
      </c>
    </row>
    <row r="15" spans="1:9" x14ac:dyDescent="0.35">
      <c r="A15" s="1">
        <v>44576</v>
      </c>
      <c r="B15" t="s">
        <v>39</v>
      </c>
      <c r="C15" t="s">
        <v>33</v>
      </c>
      <c r="E15" s="2">
        <v>300000</v>
      </c>
    </row>
    <row r="16" spans="1:9" x14ac:dyDescent="0.35">
      <c r="A16" s="1">
        <v>44576</v>
      </c>
      <c r="B16" t="s">
        <v>36</v>
      </c>
      <c r="C16" t="s">
        <v>35</v>
      </c>
      <c r="D16" s="2">
        <v>150000</v>
      </c>
    </row>
    <row r="17" spans="1:5" x14ac:dyDescent="0.35">
      <c r="A17" s="1">
        <v>44576</v>
      </c>
      <c r="B17" t="s">
        <v>36</v>
      </c>
      <c r="C17" t="s">
        <v>27</v>
      </c>
      <c r="E17" s="2">
        <v>150000</v>
      </c>
    </row>
    <row r="18" spans="1:5" x14ac:dyDescent="0.35">
      <c r="A18" s="1">
        <v>44579</v>
      </c>
      <c r="B18" t="s">
        <v>43</v>
      </c>
      <c r="C18" t="s">
        <v>41</v>
      </c>
      <c r="D18" s="2">
        <v>15000</v>
      </c>
    </row>
    <row r="19" spans="1:5" x14ac:dyDescent="0.35">
      <c r="A19" s="1">
        <v>44579</v>
      </c>
      <c r="B19" t="s">
        <v>43</v>
      </c>
      <c r="C19" t="s">
        <v>24</v>
      </c>
      <c r="E19" s="2">
        <v>15000</v>
      </c>
    </row>
    <row r="20" spans="1:5" x14ac:dyDescent="0.35">
      <c r="A20" s="1">
        <v>44591</v>
      </c>
      <c r="B20" t="s">
        <v>44</v>
      </c>
      <c r="C20" t="s">
        <v>42</v>
      </c>
      <c r="D20" s="2">
        <v>100000</v>
      </c>
    </row>
    <row r="21" spans="1:5" x14ac:dyDescent="0.35">
      <c r="A21" s="1">
        <v>44591</v>
      </c>
      <c r="B21" t="s">
        <v>44</v>
      </c>
      <c r="C21" t="s">
        <v>19</v>
      </c>
      <c r="E21" s="2">
        <v>100000</v>
      </c>
    </row>
    <row r="22" spans="1:5" x14ac:dyDescent="0.35">
      <c r="A22" s="1">
        <v>44594</v>
      </c>
      <c r="B22" t="s">
        <v>45</v>
      </c>
      <c r="C22" t="s">
        <v>28</v>
      </c>
      <c r="D22" s="2">
        <v>100000</v>
      </c>
    </row>
    <row r="23" spans="1:5" x14ac:dyDescent="0.35">
      <c r="A23" s="1">
        <v>44594</v>
      </c>
      <c r="B23" t="s">
        <v>45</v>
      </c>
      <c r="C23" t="s">
        <v>19</v>
      </c>
      <c r="E23" s="2">
        <v>100000</v>
      </c>
    </row>
    <row r="24" spans="1:5" x14ac:dyDescent="0.35">
      <c r="A24" s="1">
        <v>44607</v>
      </c>
      <c r="B24" t="s">
        <v>46</v>
      </c>
      <c r="C24" t="s">
        <v>24</v>
      </c>
      <c r="D24" s="2">
        <v>150000</v>
      </c>
    </row>
    <row r="25" spans="1:5" x14ac:dyDescent="0.35">
      <c r="A25" s="1">
        <v>44607</v>
      </c>
      <c r="B25" t="s">
        <v>46</v>
      </c>
      <c r="C25" t="s">
        <v>38</v>
      </c>
      <c r="E25" s="2">
        <v>150000</v>
      </c>
    </row>
    <row r="26" spans="1:5" x14ac:dyDescent="0.35">
      <c r="A26" s="1">
        <v>44650</v>
      </c>
      <c r="B26" t="s">
        <v>64</v>
      </c>
      <c r="C26" t="s">
        <v>62</v>
      </c>
      <c r="D26" s="2">
        <v>20250</v>
      </c>
    </row>
    <row r="27" spans="1:5" x14ac:dyDescent="0.35">
      <c r="A27" s="1">
        <v>44650</v>
      </c>
      <c r="B27" t="s">
        <v>64</v>
      </c>
      <c r="C27" t="s">
        <v>63</v>
      </c>
      <c r="E27" s="2">
        <v>20250</v>
      </c>
    </row>
    <row r="28" spans="1:5" x14ac:dyDescent="0.35">
      <c r="A28" s="1">
        <v>44602</v>
      </c>
      <c r="B28" t="s">
        <v>67</v>
      </c>
      <c r="C28" t="s">
        <v>66</v>
      </c>
      <c r="D28" s="2">
        <v>100000</v>
      </c>
    </row>
    <row r="29" spans="1:5" x14ac:dyDescent="0.35">
      <c r="A29" s="1">
        <v>44602</v>
      </c>
      <c r="B29" t="s">
        <v>67</v>
      </c>
      <c r="C29" t="s">
        <v>19</v>
      </c>
      <c r="E29" s="2">
        <v>100000</v>
      </c>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'Charts of Accounts'!$F$1:$F$26</xm:f>
          </x14:formula1>
          <xm:sqref>C1:C1048576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6"/>
  <sheetViews>
    <sheetView workbookViewId="0">
      <selection activeCell="B24" sqref="B24"/>
    </sheetView>
  </sheetViews>
  <sheetFormatPr defaultRowHeight="14.5" x14ac:dyDescent="0.35"/>
  <cols>
    <col min="1" max="1" width="21.54296875" customWidth="1"/>
    <col min="2" max="2" width="11" customWidth="1"/>
    <col min="3" max="3" width="26.453125" customWidth="1"/>
    <col min="4" max="4" width="12.6328125" customWidth="1"/>
    <col min="5" max="5" width="16.08984375" customWidth="1"/>
    <col min="6" max="6" width="12" customWidth="1"/>
  </cols>
  <sheetData>
    <row r="2" spans="1:6" ht="26" x14ac:dyDescent="0.6">
      <c r="A2" s="7" t="str">
        <f>B4</f>
        <v>Mr.Zubair</v>
      </c>
      <c r="C2" s="6" t="str">
        <f>VLOOKUP(A2,'Charts of Accounts'!F:G,2,0)</f>
        <v>Current Liablilities</v>
      </c>
    </row>
    <row r="3" spans="1:6" x14ac:dyDescent="0.35">
      <c r="A3" s="3" t="s">
        <v>0</v>
      </c>
      <c r="B3" s="3" t="s">
        <v>2</v>
      </c>
      <c r="C3" s="3" t="s">
        <v>1</v>
      </c>
      <c r="D3" t="s">
        <v>48</v>
      </c>
      <c r="E3" t="s">
        <v>49</v>
      </c>
      <c r="F3" t="s">
        <v>50</v>
      </c>
    </row>
    <row r="4" spans="1:6" x14ac:dyDescent="0.35">
      <c r="A4" s="1">
        <v>44564</v>
      </c>
      <c r="B4" t="s">
        <v>28</v>
      </c>
      <c r="C4" t="s">
        <v>29</v>
      </c>
      <c r="D4" s="2"/>
      <c r="E4" s="2">
        <v>600000</v>
      </c>
      <c r="F4" s="4">
        <v>-600000</v>
      </c>
    </row>
    <row r="5" spans="1:6" x14ac:dyDescent="0.35">
      <c r="A5" s="1">
        <v>44594</v>
      </c>
      <c r="B5" t="s">
        <v>28</v>
      </c>
      <c r="C5" t="s">
        <v>45</v>
      </c>
      <c r="D5" s="2">
        <v>100000</v>
      </c>
      <c r="E5" s="2"/>
      <c r="F5" s="4">
        <v>100000</v>
      </c>
    </row>
    <row r="6" spans="1:6" x14ac:dyDescent="0.35">
      <c r="A6" s="1" t="s">
        <v>47</v>
      </c>
      <c r="D6" s="2">
        <v>100000</v>
      </c>
      <c r="E6" s="2">
        <v>600000</v>
      </c>
      <c r="F6" s="4">
        <v>-500000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7"/>
  <sheetViews>
    <sheetView showGridLines="0" workbookViewId="0">
      <selection activeCell="F12" sqref="F12"/>
    </sheetView>
  </sheetViews>
  <sheetFormatPr defaultRowHeight="14.5" x14ac:dyDescent="0.35"/>
  <cols>
    <col min="1" max="1" width="16.90625" customWidth="1"/>
    <col min="2" max="2" width="12.453125" customWidth="1"/>
    <col min="3" max="3" width="12.54296875" customWidth="1"/>
    <col min="4" max="4" width="12.6328125" customWidth="1"/>
    <col min="5" max="5" width="16.08984375" customWidth="1"/>
    <col min="6" max="6" width="18.81640625" customWidth="1"/>
    <col min="7" max="7" width="13.54296875" customWidth="1"/>
  </cols>
  <sheetData>
    <row r="2" spans="1:7" ht="26" x14ac:dyDescent="0.6">
      <c r="A2" s="7" t="s">
        <v>51</v>
      </c>
      <c r="C2" s="6"/>
    </row>
    <row r="3" spans="1:7" x14ac:dyDescent="0.35">
      <c r="A3" s="3" t="s">
        <v>2</v>
      </c>
      <c r="B3" t="s">
        <v>48</v>
      </c>
      <c r="C3" t="s">
        <v>49</v>
      </c>
      <c r="D3" t="s">
        <v>50</v>
      </c>
    </row>
    <row r="4" spans="1:7" x14ac:dyDescent="0.35">
      <c r="A4" t="s">
        <v>24</v>
      </c>
      <c r="B4" s="2">
        <v>650000</v>
      </c>
      <c r="C4" s="2">
        <v>215000</v>
      </c>
      <c r="D4" s="4">
        <v>435000</v>
      </c>
      <c r="F4" t="str">
        <f>VLOOKUP(A4,'Charts of Accounts'!F:G,2,0)</f>
        <v>Current Assets</v>
      </c>
      <c r="G4" t="str">
        <f>VLOOKUP(F4,'Charts of Accounts'!$C:$E,3,0)</f>
        <v>Balance Sheet</v>
      </c>
    </row>
    <row r="5" spans="1:7" x14ac:dyDescent="0.35">
      <c r="A5" t="s">
        <v>19</v>
      </c>
      <c r="B5" s="2">
        <v>1400000</v>
      </c>
      <c r="C5" s="2">
        <v>800000</v>
      </c>
      <c r="D5" s="4">
        <v>600000</v>
      </c>
      <c r="F5" t="str">
        <f>VLOOKUP(A5,'Charts of Accounts'!F:G,2,0)</f>
        <v>Current Assets</v>
      </c>
      <c r="G5" t="str">
        <f>VLOOKUP(F5,'Charts of Accounts'!$C:$E,3,0)</f>
        <v>Balance Sheet</v>
      </c>
    </row>
    <row r="6" spans="1:7" x14ac:dyDescent="0.35">
      <c r="A6" t="s">
        <v>35</v>
      </c>
      <c r="B6" s="2">
        <v>450000</v>
      </c>
      <c r="C6" s="2"/>
      <c r="D6" s="4">
        <v>450000</v>
      </c>
      <c r="F6" t="str">
        <f>VLOOKUP(A6,'Charts of Accounts'!F:G,2,0)</f>
        <v>Expenses</v>
      </c>
      <c r="G6" t="str">
        <f>VLOOKUP(F6,'Charts of Accounts'!$C:$E,3,0)</f>
        <v>Income Statement</v>
      </c>
    </row>
    <row r="7" spans="1:7" x14ac:dyDescent="0.35">
      <c r="A7" t="s">
        <v>41</v>
      </c>
      <c r="B7" s="2">
        <v>15000</v>
      </c>
      <c r="C7" s="2"/>
      <c r="D7" s="4">
        <v>15000</v>
      </c>
      <c r="F7" t="str">
        <f>VLOOKUP(A7,'Charts of Accounts'!F:G,2,0)</f>
        <v>Expenses</v>
      </c>
      <c r="G7" t="str">
        <f>VLOOKUP(F7,'Charts of Accounts'!$C:$E,3,0)</f>
        <v>Income Statement</v>
      </c>
    </row>
    <row r="8" spans="1:7" x14ac:dyDescent="0.35">
      <c r="A8" t="s">
        <v>20</v>
      </c>
      <c r="B8" s="2"/>
      <c r="C8" s="2">
        <v>1000000</v>
      </c>
      <c r="D8" s="4">
        <v>-1000000</v>
      </c>
      <c r="F8" t="str">
        <f>VLOOKUP(A8,'Charts of Accounts'!F:G,2,0)</f>
        <v xml:space="preserve">Equity </v>
      </c>
      <c r="G8" t="str">
        <f>VLOOKUP(F8,'Charts of Accounts'!$C:$E,3,0)</f>
        <v>Balance Sheet</v>
      </c>
    </row>
    <row r="9" spans="1:7" x14ac:dyDescent="0.35">
      <c r="A9" t="s">
        <v>27</v>
      </c>
      <c r="B9" s="2">
        <v>800000</v>
      </c>
      <c r="C9" s="2">
        <v>450000</v>
      </c>
      <c r="D9" s="4">
        <v>350000</v>
      </c>
      <c r="F9" t="str">
        <f>VLOOKUP(A9,'Charts of Accounts'!F:G,2,0)</f>
        <v>Current Assets</v>
      </c>
      <c r="G9" t="str">
        <f>VLOOKUP(F9,'Charts of Accounts'!$C:$E,3,0)</f>
        <v>Balance Sheet</v>
      </c>
    </row>
    <row r="10" spans="1:7" x14ac:dyDescent="0.35">
      <c r="A10" t="s">
        <v>38</v>
      </c>
      <c r="B10" s="2">
        <v>300000</v>
      </c>
      <c r="C10" s="2">
        <v>150000</v>
      </c>
      <c r="D10" s="4">
        <v>150000</v>
      </c>
      <c r="F10" t="str">
        <f>VLOOKUP(A10,'Charts of Accounts'!F:G,2,0)</f>
        <v>Current Assets</v>
      </c>
      <c r="G10" t="str">
        <f>VLOOKUP(F10,'Charts of Accounts'!$C:$E,3,0)</f>
        <v>Balance Sheet</v>
      </c>
    </row>
    <row r="11" spans="1:7" x14ac:dyDescent="0.35">
      <c r="A11" t="s">
        <v>28</v>
      </c>
      <c r="B11" s="2">
        <v>100000</v>
      </c>
      <c r="C11" s="2">
        <v>600000</v>
      </c>
      <c r="D11" s="4">
        <v>-500000</v>
      </c>
      <c r="F11" t="str">
        <f>VLOOKUP(A11,'Charts of Accounts'!F:G,2,0)</f>
        <v>Current Liablilities</v>
      </c>
      <c r="G11" t="str">
        <f>VLOOKUP(F11,'Charts of Accounts'!$C:$E,3,0)</f>
        <v>Balance Sheet</v>
      </c>
    </row>
    <row r="12" spans="1:7" x14ac:dyDescent="0.35">
      <c r="A12" t="s">
        <v>42</v>
      </c>
      <c r="B12" s="2">
        <v>100000</v>
      </c>
      <c r="C12" s="2"/>
      <c r="D12" s="4">
        <v>100000</v>
      </c>
      <c r="F12" t="str">
        <f>VLOOKUP(A12,'Charts of Accounts'!F:G,2,0)</f>
        <v>Expenses</v>
      </c>
      <c r="G12" t="str">
        <f>VLOOKUP(F12,'Charts of Accounts'!$C:$E,3,0)</f>
        <v>Income Statement</v>
      </c>
    </row>
    <row r="13" spans="1:7" x14ac:dyDescent="0.35">
      <c r="A13" t="s">
        <v>33</v>
      </c>
      <c r="B13" s="2"/>
      <c r="C13" s="2">
        <v>700000</v>
      </c>
      <c r="D13" s="4">
        <v>-700000</v>
      </c>
      <c r="F13" t="str">
        <f>VLOOKUP(A13,'Charts of Accounts'!F:G,2,0)</f>
        <v>Revenue</v>
      </c>
      <c r="G13" t="str">
        <f>VLOOKUP(F13,'Charts of Accounts'!$C:$E,3,0)</f>
        <v>Income Statement</v>
      </c>
    </row>
    <row r="14" spans="1:7" x14ac:dyDescent="0.35">
      <c r="A14" t="s">
        <v>62</v>
      </c>
      <c r="B14" s="2">
        <v>20250</v>
      </c>
      <c r="C14" s="2"/>
      <c r="D14" s="4">
        <v>20250</v>
      </c>
      <c r="F14" t="str">
        <f>VLOOKUP(A14,'Charts of Accounts'!F:G,2,0)</f>
        <v>Expenses</v>
      </c>
      <c r="G14" t="str">
        <f>VLOOKUP(F14,'Charts of Accounts'!$C:$E,3,0)</f>
        <v>Income Statement</v>
      </c>
    </row>
    <row r="15" spans="1:7" x14ac:dyDescent="0.35">
      <c r="A15" t="s">
        <v>63</v>
      </c>
      <c r="B15" s="2"/>
      <c r="C15" s="2">
        <v>20250</v>
      </c>
      <c r="D15" s="4">
        <v>-20250</v>
      </c>
      <c r="F15" t="str">
        <f>VLOOKUP(A15,'Charts of Accounts'!F:G,2,0)</f>
        <v>Current Liablilities</v>
      </c>
      <c r="G15" t="str">
        <f>VLOOKUP(F15,'Charts of Accounts'!$C:$E,3,0)</f>
        <v>Balance Sheet</v>
      </c>
    </row>
    <row r="16" spans="1:7" x14ac:dyDescent="0.35">
      <c r="A16" t="s">
        <v>66</v>
      </c>
      <c r="B16" s="2">
        <v>100000</v>
      </c>
      <c r="C16" s="2"/>
      <c r="D16" s="4">
        <v>100000</v>
      </c>
    </row>
    <row r="17" spans="1:4" x14ac:dyDescent="0.35">
      <c r="A17" t="s">
        <v>47</v>
      </c>
      <c r="B17" s="2">
        <v>3935250</v>
      </c>
      <c r="C17" s="2">
        <v>3935250</v>
      </c>
      <c r="D17" s="4">
        <v>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8"/>
  <sheetViews>
    <sheetView showGridLines="0" workbookViewId="0">
      <selection activeCell="L11" sqref="L11"/>
    </sheetView>
  </sheetViews>
  <sheetFormatPr defaultRowHeight="20" customHeight="1" x14ac:dyDescent="0.35"/>
  <cols>
    <col min="5" max="5" width="9.6328125" customWidth="1"/>
    <col min="7" max="7" width="11.08984375" bestFit="1" customWidth="1"/>
  </cols>
  <sheetData>
    <row r="1" spans="2:9" ht="20" customHeight="1" thickBot="1" x14ac:dyDescent="0.4"/>
    <row r="2" spans="2:9" ht="20" customHeight="1" x14ac:dyDescent="0.35">
      <c r="B2" s="14" t="s">
        <v>79</v>
      </c>
      <c r="C2" s="15"/>
      <c r="D2" s="15"/>
      <c r="E2" s="15"/>
      <c r="F2" s="15"/>
      <c r="G2" s="15"/>
      <c r="H2" s="15"/>
      <c r="I2" s="16"/>
    </row>
    <row r="3" spans="2:9" ht="20" customHeight="1" x14ac:dyDescent="0.35">
      <c r="B3" s="17" t="s">
        <v>52</v>
      </c>
      <c r="C3" s="18"/>
      <c r="D3" s="18"/>
      <c r="E3" s="18"/>
      <c r="F3" s="18"/>
      <c r="G3" s="18"/>
      <c r="H3" s="18"/>
      <c r="I3" s="19"/>
    </row>
    <row r="4" spans="2:9" ht="20" customHeight="1" x14ac:dyDescent="0.35">
      <c r="B4" s="17" t="s">
        <v>80</v>
      </c>
      <c r="C4" s="18"/>
      <c r="D4" s="18"/>
      <c r="E4" s="18"/>
      <c r="F4" s="18"/>
      <c r="G4" s="18"/>
      <c r="H4" s="18"/>
      <c r="I4" s="19"/>
    </row>
    <row r="5" spans="2:9" ht="20" customHeight="1" x14ac:dyDescent="0.35">
      <c r="B5" s="20"/>
      <c r="C5" s="21"/>
      <c r="D5" s="21"/>
      <c r="E5" s="21"/>
      <c r="F5" s="21"/>
      <c r="G5" s="21"/>
      <c r="H5" s="21"/>
      <c r="I5" s="22"/>
    </row>
    <row r="6" spans="2:9" ht="20" customHeight="1" x14ac:dyDescent="0.35">
      <c r="B6" s="20"/>
      <c r="C6" s="8" t="s">
        <v>33</v>
      </c>
      <c r="D6" s="21"/>
      <c r="E6" s="21"/>
      <c r="F6" s="21"/>
      <c r="G6" s="21">
        <f>VLOOKUP(C6,'Trial Balance'!$A$4:$D$13,4,0)*-1</f>
        <v>700000</v>
      </c>
      <c r="H6" s="21"/>
      <c r="I6" s="22"/>
    </row>
    <row r="7" spans="2:9" ht="20" customHeight="1" thickBot="1" x14ac:dyDescent="0.4">
      <c r="B7" s="20"/>
      <c r="C7" s="8" t="s">
        <v>35</v>
      </c>
      <c r="D7" s="21"/>
      <c r="E7" s="21"/>
      <c r="F7" s="21"/>
      <c r="G7" s="9">
        <f>VLOOKUP(C7,'Trial Balance'!$A$4:$D$13,4,0)*-1</f>
        <v>-450000</v>
      </c>
      <c r="H7" s="21"/>
      <c r="I7" s="22"/>
    </row>
    <row r="8" spans="2:9" ht="20" customHeight="1" x14ac:dyDescent="0.35">
      <c r="B8" s="20"/>
      <c r="C8" s="23" t="s">
        <v>56</v>
      </c>
      <c r="D8" s="21"/>
      <c r="E8" s="21"/>
      <c r="F8" s="21"/>
      <c r="G8" s="24">
        <f>G6+G7</f>
        <v>250000</v>
      </c>
      <c r="H8" s="21"/>
      <c r="I8" s="22"/>
    </row>
    <row r="9" spans="2:9" ht="14.5" customHeight="1" x14ac:dyDescent="0.35">
      <c r="B9" s="20"/>
      <c r="C9" s="21"/>
      <c r="D9" s="21"/>
      <c r="E9" s="21"/>
      <c r="F9" s="21"/>
      <c r="G9" s="21"/>
      <c r="H9" s="21"/>
      <c r="I9" s="22"/>
    </row>
    <row r="10" spans="2:9" ht="20" customHeight="1" x14ac:dyDescent="0.35">
      <c r="B10" s="20"/>
      <c r="C10" s="23" t="s">
        <v>57</v>
      </c>
      <c r="D10" s="21"/>
      <c r="E10" s="21"/>
      <c r="F10" s="21"/>
      <c r="G10" s="21"/>
      <c r="H10" s="21"/>
      <c r="I10" s="22"/>
    </row>
    <row r="11" spans="2:9" ht="8" customHeight="1" x14ac:dyDescent="0.35">
      <c r="B11" s="20"/>
      <c r="C11" s="21"/>
      <c r="D11" s="21"/>
      <c r="E11" s="21"/>
      <c r="F11" s="21"/>
      <c r="G11" s="21"/>
      <c r="H11" s="21"/>
      <c r="I11" s="22"/>
    </row>
    <row r="12" spans="2:9" ht="20" customHeight="1" x14ac:dyDescent="0.35">
      <c r="B12" s="20"/>
      <c r="C12" s="5" t="s">
        <v>42</v>
      </c>
      <c r="D12" s="21"/>
      <c r="E12" s="21"/>
      <c r="F12" s="21">
        <f>VLOOKUP(C12,'Trial Balance'!$A$4:$D$13,4,0)</f>
        <v>100000</v>
      </c>
      <c r="G12" s="21"/>
      <c r="H12" s="21"/>
      <c r="I12" s="22"/>
    </row>
    <row r="13" spans="2:9" ht="20" customHeight="1" thickBot="1" x14ac:dyDescent="0.4">
      <c r="B13" s="20"/>
      <c r="C13" s="5" t="s">
        <v>41</v>
      </c>
      <c r="D13" s="21"/>
      <c r="E13" s="21"/>
      <c r="F13" s="9">
        <f>VLOOKUP(C13,'Trial Balance'!$A$4:$D$13,4,0)</f>
        <v>15000</v>
      </c>
      <c r="G13" s="21"/>
      <c r="H13" s="21"/>
      <c r="I13" s="22"/>
    </row>
    <row r="14" spans="2:9" ht="20" customHeight="1" thickBot="1" x14ac:dyDescent="0.4">
      <c r="B14" s="20"/>
      <c r="C14" s="11" t="s">
        <v>58</v>
      </c>
      <c r="D14" s="25"/>
      <c r="E14" s="25"/>
      <c r="F14" s="25"/>
      <c r="G14" s="12">
        <f>F12+F13</f>
        <v>115000</v>
      </c>
      <c r="H14" s="21"/>
      <c r="I14" s="22"/>
    </row>
    <row r="15" spans="2:9" ht="20" customHeight="1" x14ac:dyDescent="0.35">
      <c r="B15" s="20"/>
      <c r="C15" s="10" t="s">
        <v>59</v>
      </c>
      <c r="D15" s="21"/>
      <c r="E15" s="21"/>
      <c r="F15" s="21"/>
      <c r="G15" s="26">
        <f>G8-G14</f>
        <v>135000</v>
      </c>
      <c r="H15" s="21"/>
      <c r="I15" s="22"/>
    </row>
    <row r="16" spans="2:9" ht="20" customHeight="1" x14ac:dyDescent="0.5">
      <c r="B16" s="20"/>
      <c r="C16" s="10" t="s">
        <v>60</v>
      </c>
      <c r="D16" s="21"/>
      <c r="E16" s="21"/>
      <c r="F16" s="21"/>
      <c r="G16" s="27">
        <f>G15*0.15</f>
        <v>20250</v>
      </c>
      <c r="H16" s="21"/>
      <c r="I16" s="22"/>
    </row>
    <row r="17" spans="2:9" ht="20" customHeight="1" thickBot="1" x14ac:dyDescent="0.4">
      <c r="B17" s="20"/>
      <c r="C17" s="10" t="s">
        <v>61</v>
      </c>
      <c r="D17" s="21"/>
      <c r="E17" s="21"/>
      <c r="F17" s="21"/>
      <c r="G17" s="13">
        <f>G15-G16</f>
        <v>114750</v>
      </c>
      <c r="H17" s="21"/>
      <c r="I17" s="22"/>
    </row>
    <row r="18" spans="2:9" ht="20" customHeight="1" thickTop="1" thickBot="1" x14ac:dyDescent="0.4">
      <c r="B18" s="28"/>
      <c r="C18" s="9"/>
      <c r="D18" s="9"/>
      <c r="E18" s="9"/>
      <c r="F18" s="9"/>
      <c r="G18" s="9"/>
      <c r="H18" s="9"/>
      <c r="I18" s="29"/>
    </row>
  </sheetData>
  <mergeCells count="3">
    <mergeCell ref="B2:I2"/>
    <mergeCell ref="B4:I4"/>
    <mergeCell ref="B3:I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6"/>
  <sheetViews>
    <sheetView workbookViewId="0">
      <selection activeCell="B4" sqref="B4:K4"/>
    </sheetView>
  </sheetViews>
  <sheetFormatPr defaultRowHeight="14.5" x14ac:dyDescent="0.35"/>
  <cols>
    <col min="2" max="2" width="11.81640625" customWidth="1"/>
    <col min="4" max="4" width="8.984375E-2" customWidth="1"/>
    <col min="5" max="5" width="12.36328125" customWidth="1"/>
    <col min="6" max="6" width="9.90625" customWidth="1"/>
    <col min="8" max="8" width="14.453125" customWidth="1"/>
    <col min="9" max="9" width="4" customWidth="1"/>
    <col min="10" max="10" width="13.54296875" customWidth="1"/>
    <col min="11" max="11" width="12" customWidth="1"/>
  </cols>
  <sheetData>
    <row r="1" spans="2:11" ht="15" thickBot="1" x14ac:dyDescent="0.4"/>
    <row r="2" spans="2:11" x14ac:dyDescent="0.35">
      <c r="B2" s="14" t="s">
        <v>79</v>
      </c>
      <c r="C2" s="42"/>
      <c r="D2" s="42"/>
      <c r="E2" s="42"/>
      <c r="F2" s="42"/>
      <c r="G2" s="42"/>
      <c r="H2" s="42"/>
      <c r="I2" s="42"/>
      <c r="J2" s="42"/>
      <c r="K2" s="43"/>
    </row>
    <row r="3" spans="2:11" x14ac:dyDescent="0.35">
      <c r="B3" s="17" t="s">
        <v>54</v>
      </c>
      <c r="C3" s="18"/>
      <c r="D3" s="18"/>
      <c r="E3" s="18"/>
      <c r="F3" s="18"/>
      <c r="G3" s="18"/>
      <c r="H3" s="18"/>
      <c r="I3" s="18"/>
      <c r="J3" s="18"/>
      <c r="K3" s="19"/>
    </row>
    <row r="4" spans="2:11" ht="15" thickBot="1" x14ac:dyDescent="0.4">
      <c r="B4" s="44" t="s">
        <v>65</v>
      </c>
      <c r="C4" s="33"/>
      <c r="D4" s="33"/>
      <c r="E4" s="33"/>
      <c r="F4" s="33"/>
      <c r="G4" s="33"/>
      <c r="H4" s="33"/>
      <c r="I4" s="33"/>
      <c r="J4" s="33"/>
      <c r="K4" s="45"/>
    </row>
    <row r="5" spans="2:11" x14ac:dyDescent="0.35">
      <c r="B5" s="30"/>
      <c r="C5" s="31"/>
      <c r="D5" s="31"/>
      <c r="E5" s="31"/>
      <c r="F5" s="32"/>
      <c r="G5" s="30"/>
      <c r="H5" s="31"/>
      <c r="I5" s="31"/>
      <c r="J5" s="31"/>
      <c r="K5" s="32"/>
    </row>
    <row r="6" spans="2:11" x14ac:dyDescent="0.35">
      <c r="B6" s="34" t="s">
        <v>6</v>
      </c>
      <c r="C6" s="21"/>
      <c r="D6" s="21"/>
      <c r="E6" s="21"/>
      <c r="F6" s="22"/>
      <c r="G6" s="36" t="s">
        <v>71</v>
      </c>
      <c r="H6" s="21"/>
      <c r="I6" s="21"/>
      <c r="J6" s="21"/>
      <c r="K6" s="22"/>
    </row>
    <row r="7" spans="2:11" x14ac:dyDescent="0.35">
      <c r="B7" s="20"/>
      <c r="C7" s="21"/>
      <c r="D7" s="21"/>
      <c r="E7" s="21"/>
      <c r="F7" s="22"/>
      <c r="G7" s="20"/>
      <c r="H7" s="21"/>
      <c r="I7" s="21"/>
      <c r="J7" s="21"/>
      <c r="K7" s="22"/>
    </row>
    <row r="8" spans="2:11" x14ac:dyDescent="0.35">
      <c r="B8" s="34" t="s">
        <v>12</v>
      </c>
      <c r="C8" s="21"/>
      <c r="D8" s="21"/>
      <c r="E8" s="21"/>
      <c r="F8" s="22"/>
      <c r="G8" s="34" t="s">
        <v>7</v>
      </c>
      <c r="H8" s="21"/>
      <c r="I8" s="21"/>
      <c r="J8" s="21"/>
      <c r="K8" s="22"/>
    </row>
    <row r="9" spans="2:11" x14ac:dyDescent="0.35">
      <c r="B9" s="20"/>
      <c r="C9" s="21"/>
      <c r="D9" s="21"/>
      <c r="E9" s="21"/>
      <c r="F9" s="22"/>
      <c r="G9" s="37" t="s">
        <v>72</v>
      </c>
      <c r="H9" s="21"/>
      <c r="I9" s="21"/>
      <c r="J9" s="21"/>
      <c r="K9" s="22">
        <v>0</v>
      </c>
    </row>
    <row r="10" spans="2:11" x14ac:dyDescent="0.35">
      <c r="B10" s="46" t="s">
        <v>66</v>
      </c>
      <c r="C10" s="21"/>
      <c r="D10" s="21"/>
      <c r="E10" s="21">
        <f>VLOOKUP(B10,'Trial Balance'!A4:D16,4,0)</f>
        <v>100000</v>
      </c>
      <c r="F10" s="22"/>
      <c r="G10" s="20"/>
      <c r="H10" s="21"/>
      <c r="I10" s="21"/>
      <c r="J10" s="21"/>
      <c r="K10" s="22"/>
    </row>
    <row r="11" spans="2:11" x14ac:dyDescent="0.35">
      <c r="B11" s="36" t="s">
        <v>68</v>
      </c>
      <c r="C11" s="21"/>
      <c r="D11" s="21"/>
      <c r="E11" s="21"/>
      <c r="F11" s="35">
        <f>E10</f>
        <v>100000</v>
      </c>
      <c r="G11" s="20"/>
      <c r="H11" s="21"/>
      <c r="I11" s="21"/>
      <c r="J11" s="21"/>
      <c r="K11" s="22"/>
    </row>
    <row r="12" spans="2:11" x14ac:dyDescent="0.35">
      <c r="B12" s="20"/>
      <c r="C12" s="21"/>
      <c r="D12" s="21"/>
      <c r="E12" s="21"/>
      <c r="F12" s="22"/>
      <c r="G12" s="20"/>
      <c r="H12" s="21"/>
      <c r="I12" s="21"/>
      <c r="J12" s="21"/>
      <c r="K12" s="22"/>
    </row>
    <row r="13" spans="2:11" x14ac:dyDescent="0.35">
      <c r="B13" s="20"/>
      <c r="C13" s="21"/>
      <c r="D13" s="21"/>
      <c r="E13" s="21"/>
      <c r="F13" s="22"/>
      <c r="G13" s="36" t="s">
        <v>73</v>
      </c>
      <c r="H13" s="21"/>
      <c r="I13" s="21"/>
      <c r="J13" s="21"/>
      <c r="K13" s="22"/>
    </row>
    <row r="14" spans="2:11" x14ac:dyDescent="0.35">
      <c r="B14" s="20"/>
      <c r="C14" s="21"/>
      <c r="D14" s="21"/>
      <c r="E14" s="21"/>
      <c r="F14" s="22"/>
      <c r="G14" s="20"/>
      <c r="H14" s="21"/>
      <c r="I14" s="21"/>
      <c r="J14" s="21"/>
      <c r="K14" s="22"/>
    </row>
    <row r="15" spans="2:11" x14ac:dyDescent="0.35">
      <c r="B15" s="34" t="s">
        <v>11</v>
      </c>
      <c r="C15" s="21"/>
      <c r="D15" s="21"/>
      <c r="E15" s="21"/>
      <c r="F15" s="22"/>
      <c r="G15" s="20"/>
      <c r="H15" s="5" t="s">
        <v>28</v>
      </c>
      <c r="I15" s="21"/>
      <c r="J15" s="24">
        <f>VLOOKUP(H15,'Trial Balance'!A4:D16,4,0)*-1</f>
        <v>500000</v>
      </c>
      <c r="K15" s="22"/>
    </row>
    <row r="16" spans="2:11" x14ac:dyDescent="0.35">
      <c r="B16" s="20"/>
      <c r="C16" s="21"/>
      <c r="D16" s="21"/>
      <c r="E16" s="21"/>
      <c r="F16" s="22"/>
      <c r="G16" s="20"/>
      <c r="H16" s="5" t="s">
        <v>63</v>
      </c>
      <c r="I16" s="21"/>
      <c r="J16" s="24">
        <f>VLOOKUP(H16,'Trial Balance'!A5:D17,4,0)*-1</f>
        <v>20250</v>
      </c>
      <c r="K16" s="22"/>
    </row>
    <row r="17" spans="2:11" x14ac:dyDescent="0.35">
      <c r="B17" s="46" t="s">
        <v>24</v>
      </c>
      <c r="C17" s="21"/>
      <c r="D17" s="21"/>
      <c r="E17" s="21">
        <f>VLOOKUP(B17,'Trial Balance'!A4:D16,4,0)</f>
        <v>435000</v>
      </c>
      <c r="F17" s="22"/>
      <c r="G17" s="20"/>
      <c r="H17" s="21"/>
      <c r="I17" s="21"/>
      <c r="J17" s="21"/>
      <c r="K17" s="22"/>
    </row>
    <row r="18" spans="2:11" x14ac:dyDescent="0.35">
      <c r="B18" s="46" t="s">
        <v>19</v>
      </c>
      <c r="C18" s="21"/>
      <c r="D18" s="21"/>
      <c r="E18" s="21">
        <f>VLOOKUP(B18,'Trial Balance'!A5:D17,4,0)</f>
        <v>600000</v>
      </c>
      <c r="F18" s="22"/>
      <c r="G18" s="34" t="s">
        <v>74</v>
      </c>
      <c r="H18" s="21"/>
      <c r="I18" s="21"/>
      <c r="J18" s="21"/>
      <c r="K18" s="38">
        <f>J15+J16</f>
        <v>520250</v>
      </c>
    </row>
    <row r="19" spans="2:11" x14ac:dyDescent="0.35">
      <c r="B19" s="46" t="s">
        <v>27</v>
      </c>
      <c r="C19" s="21"/>
      <c r="D19" s="21"/>
      <c r="E19" s="21">
        <f>VLOOKUP(B19,'Trial Balance'!A6:D18,4,0)</f>
        <v>350000</v>
      </c>
      <c r="F19" s="22"/>
      <c r="G19" s="20"/>
      <c r="H19" s="21"/>
      <c r="I19" s="21"/>
      <c r="J19" s="21"/>
      <c r="K19" s="22"/>
    </row>
    <row r="20" spans="2:11" x14ac:dyDescent="0.35">
      <c r="B20" s="46" t="s">
        <v>38</v>
      </c>
      <c r="C20" s="21"/>
      <c r="D20" s="21"/>
      <c r="E20" s="21">
        <f>VLOOKUP(B20,'Trial Balance'!A7:D19,4,0)</f>
        <v>150000</v>
      </c>
      <c r="F20" s="22"/>
      <c r="G20" s="20"/>
      <c r="H20" s="21"/>
      <c r="I20" s="21"/>
      <c r="J20" s="21"/>
      <c r="K20" s="22"/>
    </row>
    <row r="21" spans="2:11" x14ac:dyDescent="0.35">
      <c r="B21" s="36" t="s">
        <v>69</v>
      </c>
      <c r="C21" s="21"/>
      <c r="D21" s="21"/>
      <c r="E21" s="21"/>
      <c r="F21" s="35">
        <f>SUM(E17:E20)</f>
        <v>1535000</v>
      </c>
      <c r="G21" s="36" t="s">
        <v>8</v>
      </c>
      <c r="H21" s="21"/>
      <c r="I21" s="21"/>
      <c r="J21" s="21"/>
      <c r="K21" s="22"/>
    </row>
    <row r="22" spans="2:11" x14ac:dyDescent="0.35">
      <c r="B22" s="20"/>
      <c r="C22" s="21"/>
      <c r="D22" s="21"/>
      <c r="E22" s="21"/>
      <c r="F22" s="22"/>
      <c r="G22" s="20"/>
      <c r="H22" s="21" t="s">
        <v>75</v>
      </c>
      <c r="I22" s="21"/>
      <c r="J22" s="39">
        <v>1000000</v>
      </c>
      <c r="K22" s="22"/>
    </row>
    <row r="23" spans="2:11" x14ac:dyDescent="0.35">
      <c r="B23" s="20"/>
      <c r="C23" s="21"/>
      <c r="D23" s="21"/>
      <c r="E23" s="21"/>
      <c r="F23" s="22"/>
      <c r="G23" s="20"/>
      <c r="H23" s="21" t="s">
        <v>76</v>
      </c>
      <c r="I23" s="21"/>
      <c r="J23" s="21">
        <f>'Income Statement'!G17</f>
        <v>114750</v>
      </c>
      <c r="K23" s="22"/>
    </row>
    <row r="24" spans="2:11" x14ac:dyDescent="0.35">
      <c r="B24" s="20"/>
      <c r="C24" s="21"/>
      <c r="D24" s="21"/>
      <c r="E24" s="21"/>
      <c r="F24" s="22"/>
      <c r="G24" s="36" t="s">
        <v>77</v>
      </c>
      <c r="H24" s="21"/>
      <c r="I24" s="21"/>
      <c r="J24" s="21"/>
      <c r="K24" s="41">
        <f>J22+J23</f>
        <v>1114750</v>
      </c>
    </row>
    <row r="25" spans="2:11" ht="15" thickBot="1" x14ac:dyDescent="0.4">
      <c r="B25" s="36" t="s">
        <v>70</v>
      </c>
      <c r="C25" s="21"/>
      <c r="D25" s="21"/>
      <c r="E25" s="21"/>
      <c r="F25" s="47">
        <f>F11+F21</f>
        <v>1635000</v>
      </c>
      <c r="G25" s="20"/>
      <c r="H25" s="21"/>
      <c r="I25" s="21"/>
      <c r="J25" s="21"/>
      <c r="K25" s="48">
        <f>K18+K24</f>
        <v>1635000</v>
      </c>
    </row>
    <row r="26" spans="2:11" ht="15.5" thickTop="1" thickBot="1" x14ac:dyDescent="0.4">
      <c r="B26" s="28"/>
      <c r="C26" s="9"/>
      <c r="D26" s="9"/>
      <c r="E26" s="9"/>
      <c r="F26" s="29"/>
      <c r="G26" s="40" t="s">
        <v>78</v>
      </c>
      <c r="H26" s="9"/>
      <c r="I26" s="9"/>
      <c r="J26" s="9"/>
      <c r="K26" s="29"/>
    </row>
  </sheetData>
  <mergeCells count="3">
    <mergeCell ref="B2:K2"/>
    <mergeCell ref="B3:K3"/>
    <mergeCell ref="B4:K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Charts of Accounts</vt:lpstr>
      <vt:lpstr>Journal Entries</vt:lpstr>
      <vt:lpstr>Ledger</vt:lpstr>
      <vt:lpstr>Trial Balance</vt:lpstr>
      <vt:lpstr>Income Statement</vt:lpstr>
      <vt:lpstr>Balance 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2025-11-02T05:44:25Z</dcterms:created>
  <dcterms:modified xsi:type="dcterms:W3CDTF">2025-11-02T12:55:35Z</dcterms:modified>
</cp:coreProperties>
</file>