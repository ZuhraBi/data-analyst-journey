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 sheet" sheetId="1" r:id="rId4"/>
  </sheets>
  <definedNames/>
  <calcPr/>
</workbook>
</file>

<file path=xl/sharedStrings.xml><?xml version="1.0" encoding="utf-8"?>
<sst xmlns="http://schemas.openxmlformats.org/spreadsheetml/2006/main" count="42" uniqueCount="40">
  <si>
    <t xml:space="preserve">Curisosity Junior School </t>
  </si>
  <si>
    <t xml:space="preserve">Final Examination </t>
  </si>
  <si>
    <t xml:space="preserve">                               Class : 5th                                                    Session: 2025/2026                       Teacher Signature: ____________</t>
  </si>
  <si>
    <t xml:space="preserve">Student Information </t>
  </si>
  <si>
    <t xml:space="preserve">Subjects </t>
  </si>
  <si>
    <t>Marks</t>
  </si>
  <si>
    <t xml:space="preserve">Position and Grades </t>
  </si>
  <si>
    <t>S.No</t>
  </si>
  <si>
    <t xml:space="preserve">Name </t>
  </si>
  <si>
    <t>Father Name</t>
  </si>
  <si>
    <t xml:space="preserve">English </t>
  </si>
  <si>
    <t xml:space="preserve">Maths </t>
  </si>
  <si>
    <t xml:space="preserve">Science </t>
  </si>
  <si>
    <t>Urdu</t>
  </si>
  <si>
    <t>Social Studies</t>
  </si>
  <si>
    <t xml:space="preserve">Computer Science </t>
  </si>
  <si>
    <t xml:space="preserve">Total </t>
  </si>
  <si>
    <t xml:space="preserve">Obtained </t>
  </si>
  <si>
    <t>Percentage</t>
  </si>
  <si>
    <t>Grade</t>
  </si>
  <si>
    <t>Position</t>
  </si>
  <si>
    <t>Remarks</t>
  </si>
  <si>
    <t xml:space="preserve">Ashir </t>
  </si>
  <si>
    <t>Faheem</t>
  </si>
  <si>
    <t>Aabis</t>
  </si>
  <si>
    <t>Naeem</t>
  </si>
  <si>
    <t xml:space="preserve">Rafay </t>
  </si>
  <si>
    <t>Shahzain</t>
  </si>
  <si>
    <t>Muneeb</t>
  </si>
  <si>
    <t>Asghar</t>
  </si>
  <si>
    <t>Sajid</t>
  </si>
  <si>
    <t xml:space="preserve">Nasir </t>
  </si>
  <si>
    <t xml:space="preserve">Saadullah </t>
  </si>
  <si>
    <t>Fazeel</t>
  </si>
  <si>
    <t xml:space="preserve">Kamran </t>
  </si>
  <si>
    <t>Asim</t>
  </si>
  <si>
    <t>Adnan</t>
  </si>
  <si>
    <t>Chanzeb</t>
  </si>
  <si>
    <t xml:space="preserve">Abdullah </t>
  </si>
  <si>
    <t xml:space="preserve">Ubaidullah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</si>
</sst>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Verdana"/>
      <scheme val="minor"/>
    </font>
    <font>
      <b/>
      <sz val="13.0"/>
      <color theme="1"/>
      <name val="Verdana"/>
      <scheme val="minor"/>
    </font>
    <font>
      <b/>
      <color theme="1"/>
      <name val="Arial"/>
    </font>
    <font>
      <b/>
      <color theme="1"/>
      <name val="Verdana"/>
      <scheme val="minor"/>
    </font>
    <font/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readingOrder="0"/>
    </xf>
    <xf borderId="2" fillId="0" fontId="4" numFmtId="0" xfId="0" applyBorder="1" applyFont="1"/>
    <xf borderId="3" fillId="0" fontId="5" numFmtId="0" xfId="0" applyBorder="1" applyFont="1"/>
    <xf borderId="4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0" fontId="5" numFmtId="0" xfId="0" applyBorder="1" applyFont="1"/>
    <xf borderId="4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0" fillId="0" fontId="5" numFmtId="0" xfId="0" applyFont="1"/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readingOrder="0"/>
    </xf>
    <xf borderId="7" fillId="0" fontId="5" numFmtId="0" xfId="0" applyAlignment="1" applyBorder="1" applyFont="1">
      <alignment readingOrder="0"/>
    </xf>
    <xf borderId="7" fillId="0" fontId="5" numFmtId="0" xfId="0" applyBorder="1" applyFont="1"/>
    <xf borderId="7" fillId="0" fontId="5" numFmtId="0" xfId="0" applyAlignment="1" applyBorder="1" applyFont="1">
      <alignment horizontal="center"/>
    </xf>
    <xf borderId="8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4.33"/>
    <col customWidth="1" min="2" max="2" width="4.67"/>
    <col customWidth="1" min="3" max="3" width="10.44"/>
    <col customWidth="1" min="4" max="4" width="10.33"/>
    <col customWidth="1" min="5" max="5" width="6.44"/>
    <col customWidth="1" min="6" max="6" width="5.89"/>
    <col customWidth="1" min="7" max="7" width="5.33"/>
    <col customWidth="1" min="8" max="8" width="5.44"/>
    <col customWidth="1" min="9" max="9" width="4.56"/>
    <col customWidth="1" min="10" max="10" width="4.67"/>
    <col customWidth="1" min="11" max="11" width="6.11"/>
    <col customWidth="1" min="12" max="12" width="7.11"/>
    <col customWidth="1" min="14" max="14" width="8.67"/>
  </cols>
  <sheetData>
    <row r="2">
      <c r="A2" s="1" t="s">
        <v>0</v>
      </c>
    </row>
    <row r="3">
      <c r="B3" s="2" t="s">
        <v>1</v>
      </c>
    </row>
    <row r="4">
      <c r="B4" s="3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>
      <c r="B5" s="6" t="s">
        <v>3</v>
      </c>
      <c r="E5" s="7" t="s">
        <v>4</v>
      </c>
      <c r="K5" s="7" t="s">
        <v>5</v>
      </c>
      <c r="M5" s="2" t="s">
        <v>6</v>
      </c>
      <c r="P5" s="8"/>
    </row>
    <row r="6">
      <c r="B6" s="9" t="s">
        <v>7</v>
      </c>
      <c r="C6" s="10" t="s">
        <v>8</v>
      </c>
      <c r="D6" s="10" t="s">
        <v>9</v>
      </c>
      <c r="E6" s="11" t="s">
        <v>10</v>
      </c>
      <c r="F6" s="11" t="s">
        <v>11</v>
      </c>
      <c r="G6" s="11" t="s">
        <v>12</v>
      </c>
      <c r="H6" s="11" t="s">
        <v>13</v>
      </c>
      <c r="I6" s="11" t="s">
        <v>14</v>
      </c>
      <c r="J6" s="11" t="s">
        <v>15</v>
      </c>
      <c r="K6" s="11" t="s">
        <v>16</v>
      </c>
      <c r="L6" s="11" t="s">
        <v>17</v>
      </c>
      <c r="M6" s="11" t="s">
        <v>18</v>
      </c>
      <c r="N6" s="11" t="s">
        <v>19</v>
      </c>
      <c r="O6" s="11" t="s">
        <v>20</v>
      </c>
      <c r="P6" s="12" t="s">
        <v>21</v>
      </c>
    </row>
    <row r="7">
      <c r="B7" s="13">
        <v>1.0</v>
      </c>
      <c r="C7" s="11" t="s">
        <v>22</v>
      </c>
      <c r="D7" s="11" t="s">
        <v>23</v>
      </c>
      <c r="E7" s="11">
        <v>45.0</v>
      </c>
      <c r="F7" s="11">
        <v>88.0</v>
      </c>
      <c r="G7" s="11">
        <v>99.0</v>
      </c>
      <c r="H7" s="11">
        <v>99.0</v>
      </c>
      <c r="I7" s="11">
        <v>88.0</v>
      </c>
      <c r="J7" s="11">
        <v>99.0</v>
      </c>
      <c r="K7" s="11">
        <v>600.0</v>
      </c>
      <c r="L7" s="14">
        <f>SUm(E7:J7)</f>
        <v>518</v>
      </c>
      <c r="M7" s="14">
        <f t="shared" ref="M7:M16" si="1">L7/K7*100</f>
        <v>86.33333333</v>
      </c>
      <c r="N7" s="14" t="str">
        <f t="shared" ref="N7:N10" si="2">IF(M7&gt;80,"A+",if(M7&gt;70,"A",If(M7&gt;60,"B",IF(M7&lt;50,"C",IF(M7&lt;40,"D")))))</f>
        <v>A+</v>
      </c>
      <c r="O7" s="15">
        <f t="shared" ref="O7:O16" si="3">rank($L7,$L7:$L16)</f>
        <v>2</v>
      </c>
      <c r="P7" s="8" t="str">
        <f t="shared" ref="P7:P16" si="4">IF(M7&gt;40,"Pass",IF(M7&lt;40,"Fail"))</f>
        <v>Pass</v>
      </c>
    </row>
    <row r="8">
      <c r="B8" s="13">
        <v>2.0</v>
      </c>
      <c r="C8" s="11" t="s">
        <v>24</v>
      </c>
      <c r="D8" s="11" t="s">
        <v>25</v>
      </c>
      <c r="E8" s="11">
        <v>55.0</v>
      </c>
      <c r="F8" s="11">
        <v>99.0</v>
      </c>
      <c r="G8" s="11">
        <v>88.0</v>
      </c>
      <c r="H8" s="11">
        <v>99.0</v>
      </c>
      <c r="I8" s="11">
        <v>99.0</v>
      </c>
      <c r="J8" s="11">
        <v>88.0</v>
      </c>
      <c r="K8" s="11">
        <v>600.0</v>
      </c>
      <c r="L8" s="14">
        <f t="shared" ref="L8:L16" si="5">Sum(E8:J8)</f>
        <v>528</v>
      </c>
      <c r="M8" s="14">
        <f t="shared" si="1"/>
        <v>88</v>
      </c>
      <c r="N8" s="14" t="str">
        <f t="shared" si="2"/>
        <v>A+</v>
      </c>
      <c r="O8" s="15">
        <f t="shared" si="3"/>
        <v>1</v>
      </c>
      <c r="P8" s="8" t="str">
        <f t="shared" si="4"/>
        <v>Pass</v>
      </c>
    </row>
    <row r="9">
      <c r="B9" s="13">
        <v>3.0</v>
      </c>
      <c r="C9" s="11" t="s">
        <v>26</v>
      </c>
      <c r="D9" s="11" t="s">
        <v>25</v>
      </c>
      <c r="E9" s="11">
        <v>78.0</v>
      </c>
      <c r="F9" s="11">
        <v>99.0</v>
      </c>
      <c r="G9" s="11">
        <v>77.0</v>
      </c>
      <c r="H9" s="11">
        <v>88.0</v>
      </c>
      <c r="I9" s="11">
        <v>77.0</v>
      </c>
      <c r="J9" s="11">
        <v>99.0</v>
      </c>
      <c r="K9" s="11">
        <v>600.0</v>
      </c>
      <c r="L9" s="14">
        <f t="shared" si="5"/>
        <v>518</v>
      </c>
      <c r="M9" s="14">
        <f t="shared" si="1"/>
        <v>86.33333333</v>
      </c>
      <c r="N9" s="14" t="str">
        <f t="shared" si="2"/>
        <v>A+</v>
      </c>
      <c r="O9" s="15">
        <f t="shared" si="3"/>
        <v>1</v>
      </c>
      <c r="P9" s="8" t="str">
        <f t="shared" si="4"/>
        <v>Pass</v>
      </c>
    </row>
    <row r="10">
      <c r="B10" s="13">
        <v>4.0</v>
      </c>
      <c r="C10" s="11" t="s">
        <v>27</v>
      </c>
      <c r="D10" s="11" t="s">
        <v>23</v>
      </c>
      <c r="E10" s="11">
        <v>89.0</v>
      </c>
      <c r="F10" s="11">
        <v>88.0</v>
      </c>
      <c r="G10" s="11">
        <v>66.0</v>
      </c>
      <c r="H10" s="11">
        <v>77.0</v>
      </c>
      <c r="I10" s="11">
        <v>77.0</v>
      </c>
      <c r="J10" s="11">
        <v>55.0</v>
      </c>
      <c r="K10" s="11">
        <v>600.0</v>
      </c>
      <c r="L10" s="14">
        <f t="shared" si="5"/>
        <v>452</v>
      </c>
      <c r="M10" s="14">
        <f t="shared" si="1"/>
        <v>75.33333333</v>
      </c>
      <c r="N10" s="14" t="str">
        <f t="shared" si="2"/>
        <v>A</v>
      </c>
      <c r="O10" s="15">
        <f t="shared" si="3"/>
        <v>1</v>
      </c>
      <c r="P10" s="8" t="str">
        <f t="shared" si="4"/>
        <v>Pass</v>
      </c>
    </row>
    <row r="11">
      <c r="B11" s="13">
        <v>5.0</v>
      </c>
      <c r="C11" s="11" t="s">
        <v>28</v>
      </c>
      <c r="D11" s="11" t="s">
        <v>29</v>
      </c>
      <c r="E11" s="11">
        <v>91.0</v>
      </c>
      <c r="F11" s="11">
        <v>7.0</v>
      </c>
      <c r="G11" s="11">
        <v>55.0</v>
      </c>
      <c r="H11" s="11">
        <v>66.0</v>
      </c>
      <c r="I11" s="11">
        <v>66.0</v>
      </c>
      <c r="J11" s="11">
        <v>22.0</v>
      </c>
      <c r="K11" s="11">
        <v>600.0</v>
      </c>
      <c r="L11" s="14">
        <f t="shared" si="5"/>
        <v>307</v>
      </c>
      <c r="M11" s="14">
        <f t="shared" si="1"/>
        <v>51.16666667</v>
      </c>
      <c r="N11" s="14" t="str">
        <f t="shared" ref="N11:N12" si="6">IF(M11&gt;80,"A+",if(M11&gt;70,"A",If(M11&gt;60,"B",IF(M11&gt;50,"C",IF(M11&lt;40,"D")))))</f>
        <v>C</v>
      </c>
      <c r="O11" s="15">
        <f t="shared" si="3"/>
        <v>2</v>
      </c>
      <c r="P11" s="8" t="str">
        <f t="shared" si="4"/>
        <v>Pass</v>
      </c>
    </row>
    <row r="12">
      <c r="B12" s="13">
        <v>6.0</v>
      </c>
      <c r="C12" s="11" t="s">
        <v>30</v>
      </c>
      <c r="D12" s="11" t="s">
        <v>31</v>
      </c>
      <c r="E12" s="11">
        <v>89.0</v>
      </c>
      <c r="F12" s="11">
        <v>66.0</v>
      </c>
      <c r="G12" s="11">
        <v>44.0</v>
      </c>
      <c r="H12" s="11">
        <v>55.0</v>
      </c>
      <c r="I12" s="11">
        <v>55.0</v>
      </c>
      <c r="J12" s="11">
        <v>33.0</v>
      </c>
      <c r="K12" s="11">
        <v>600.0</v>
      </c>
      <c r="L12" s="14">
        <f t="shared" si="5"/>
        <v>342</v>
      </c>
      <c r="M12" s="14">
        <f t="shared" si="1"/>
        <v>57</v>
      </c>
      <c r="N12" s="14" t="str">
        <f t="shared" si="6"/>
        <v>C</v>
      </c>
      <c r="O12" s="15">
        <f t="shared" si="3"/>
        <v>1</v>
      </c>
      <c r="P12" s="8" t="str">
        <f t="shared" si="4"/>
        <v>Pass</v>
      </c>
    </row>
    <row r="13">
      <c r="B13" s="13">
        <v>7.0</v>
      </c>
      <c r="C13" s="11" t="s">
        <v>32</v>
      </c>
      <c r="D13" s="11" t="s">
        <v>33</v>
      </c>
      <c r="E13" s="11">
        <v>23.0</v>
      </c>
      <c r="F13" s="11">
        <v>55.0</v>
      </c>
      <c r="G13" s="11">
        <v>33.0</v>
      </c>
      <c r="H13" s="11">
        <v>44.0</v>
      </c>
      <c r="I13" s="11">
        <v>44.0</v>
      </c>
      <c r="J13" s="11">
        <v>44.0</v>
      </c>
      <c r="K13" s="11">
        <v>600.0</v>
      </c>
      <c r="L13" s="14">
        <f t="shared" si="5"/>
        <v>243</v>
      </c>
      <c r="M13" s="14">
        <f t="shared" si="1"/>
        <v>40.5</v>
      </c>
      <c r="N13" s="14" t="str">
        <f t="shared" ref="N13:N16" si="7">IF(M13&gt;80,"A+",if(M13&gt;70,"A",If(M13&gt;60,"B",IF(M13&lt;50,"C",IF(M13&lt;40,"D")))))</f>
        <v>C</v>
      </c>
      <c r="O13" s="15">
        <f t="shared" si="3"/>
        <v>2</v>
      </c>
      <c r="P13" s="8" t="str">
        <f t="shared" si="4"/>
        <v>Pass</v>
      </c>
    </row>
    <row r="14">
      <c r="B14" s="13">
        <v>8.0</v>
      </c>
      <c r="C14" s="11" t="s">
        <v>34</v>
      </c>
      <c r="D14" s="11" t="s">
        <v>35</v>
      </c>
      <c r="E14" s="11">
        <v>78.0</v>
      </c>
      <c r="F14" s="11">
        <v>44.0</v>
      </c>
      <c r="G14" s="11">
        <v>22.0</v>
      </c>
      <c r="H14" s="11">
        <v>33.0</v>
      </c>
      <c r="I14" s="11">
        <v>44.0</v>
      </c>
      <c r="J14" s="11">
        <v>33.0</v>
      </c>
      <c r="K14" s="11">
        <v>600.0</v>
      </c>
      <c r="L14" s="14">
        <f t="shared" si="5"/>
        <v>254</v>
      </c>
      <c r="M14" s="14">
        <f t="shared" si="1"/>
        <v>42.33333333</v>
      </c>
      <c r="N14" s="14" t="str">
        <f t="shared" si="7"/>
        <v>C</v>
      </c>
      <c r="O14" s="15">
        <f t="shared" si="3"/>
        <v>1</v>
      </c>
      <c r="P14" s="8" t="str">
        <f t="shared" si="4"/>
        <v>Pass</v>
      </c>
    </row>
    <row r="15">
      <c r="B15" s="13">
        <v>9.0</v>
      </c>
      <c r="C15" s="11" t="s">
        <v>36</v>
      </c>
      <c r="D15" s="11" t="s">
        <v>37</v>
      </c>
      <c r="E15" s="11">
        <v>90.0</v>
      </c>
      <c r="F15" s="11">
        <v>33.0</v>
      </c>
      <c r="G15" s="11">
        <v>11.0</v>
      </c>
      <c r="H15" s="11">
        <v>11.0</v>
      </c>
      <c r="I15" s="11">
        <v>33.0</v>
      </c>
      <c r="J15" s="11">
        <v>22.0</v>
      </c>
      <c r="K15" s="11">
        <v>600.0</v>
      </c>
      <c r="L15" s="14">
        <f t="shared" si="5"/>
        <v>200</v>
      </c>
      <c r="M15" s="14">
        <f t="shared" si="1"/>
        <v>33.33333333</v>
      </c>
      <c r="N15" s="14" t="str">
        <f t="shared" si="7"/>
        <v>C</v>
      </c>
      <c r="O15" s="15">
        <f t="shared" si="3"/>
        <v>2</v>
      </c>
      <c r="P15" s="8" t="str">
        <f t="shared" si="4"/>
        <v>Fail</v>
      </c>
    </row>
    <row r="16">
      <c r="B16" s="16">
        <v>10.0</v>
      </c>
      <c r="C16" s="17" t="s">
        <v>38</v>
      </c>
      <c r="D16" s="17" t="s">
        <v>39</v>
      </c>
      <c r="E16" s="17">
        <v>34.0</v>
      </c>
      <c r="F16" s="17">
        <v>87.0</v>
      </c>
      <c r="G16" s="17">
        <v>22.0</v>
      </c>
      <c r="H16" s="17">
        <v>22.0</v>
      </c>
      <c r="I16" s="17">
        <v>22.0</v>
      </c>
      <c r="J16" s="17">
        <v>33.0</v>
      </c>
      <c r="K16" s="17">
        <v>600.0</v>
      </c>
      <c r="L16" s="18">
        <f t="shared" si="5"/>
        <v>220</v>
      </c>
      <c r="M16" s="18">
        <f t="shared" si="1"/>
        <v>36.66666667</v>
      </c>
      <c r="N16" s="18" t="str">
        <f t="shared" si="7"/>
        <v>C</v>
      </c>
      <c r="O16" s="19">
        <f t="shared" si="3"/>
        <v>1</v>
      </c>
      <c r="P16" s="20" t="str">
        <f t="shared" si="4"/>
        <v>Fail</v>
      </c>
    </row>
  </sheetData>
  <mergeCells count="7">
    <mergeCell ref="A2:O2"/>
    <mergeCell ref="B3:O3"/>
    <mergeCell ref="B4:O4"/>
    <mergeCell ref="B5:D5"/>
    <mergeCell ref="E5:J5"/>
    <mergeCell ref="K5:L5"/>
    <mergeCell ref="M5:O5"/>
  </mergeCells>
  <drawing r:id="rId1"/>
</worksheet>
</file>